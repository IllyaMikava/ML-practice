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yamikava/Desktop/Projects/MLpython/"/>
    </mc:Choice>
  </mc:AlternateContent>
  <xr:revisionPtr revIDLastSave="0" documentId="8_{24E8CBAF-CC66-9E48-BD47-02696D87DE1E}" xr6:coauthVersionLast="47" xr6:coauthVersionMax="47" xr10:uidLastSave="{00000000-0000-0000-0000-000000000000}"/>
  <bookViews>
    <workbookView xWindow="3480" yWindow="2700" windowWidth="27640" windowHeight="16680" xr2:uid="{BF8AC140-FB0E-B547-BAF8-4EAF693FC737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1" l="1"/>
  <c r="I189" i="1"/>
  <c r="G189" i="1"/>
  <c r="J188" i="1"/>
  <c r="I188" i="1"/>
  <c r="G188" i="1"/>
  <c r="J187" i="1"/>
  <c r="I187" i="1"/>
  <c r="G187" i="1"/>
  <c r="J186" i="1"/>
  <c r="I186" i="1"/>
  <c r="G186" i="1"/>
  <c r="J185" i="1"/>
  <c r="I185" i="1"/>
  <c r="G185" i="1"/>
  <c r="D185" i="1"/>
  <c r="J184" i="1"/>
  <c r="I184" i="1"/>
  <c r="G184" i="1"/>
  <c r="B184" i="1"/>
  <c r="J183" i="1"/>
  <c r="I183" i="1"/>
  <c r="G183" i="1"/>
  <c r="J182" i="1"/>
  <c r="I182" i="1"/>
  <c r="G182" i="1"/>
  <c r="J181" i="1"/>
  <c r="I181" i="1"/>
  <c r="G181" i="1"/>
  <c r="J180" i="1"/>
  <c r="I180" i="1"/>
  <c r="G180" i="1"/>
  <c r="J179" i="1"/>
  <c r="I179" i="1"/>
  <c r="G179" i="1"/>
  <c r="J178" i="1"/>
  <c r="I178" i="1"/>
  <c r="G178" i="1"/>
  <c r="J177" i="1"/>
  <c r="I177" i="1"/>
  <c r="G177" i="1"/>
  <c r="J176" i="1"/>
  <c r="I176" i="1"/>
  <c r="G176" i="1"/>
  <c r="G175" i="1"/>
  <c r="A175" i="1"/>
  <c r="J175" i="1" s="1"/>
  <c r="J174" i="1"/>
  <c r="I174" i="1"/>
  <c r="G174" i="1"/>
  <c r="J173" i="1"/>
  <c r="I173" i="1"/>
  <c r="G173" i="1"/>
  <c r="J172" i="1"/>
  <c r="I172" i="1"/>
  <c r="G172" i="1"/>
  <c r="J171" i="1"/>
  <c r="I171" i="1"/>
  <c r="G171" i="1"/>
  <c r="J170" i="1"/>
  <c r="I170" i="1"/>
  <c r="G170" i="1"/>
  <c r="J169" i="1"/>
  <c r="I169" i="1"/>
  <c r="G169" i="1"/>
  <c r="J168" i="1"/>
  <c r="I168" i="1"/>
  <c r="G168" i="1"/>
  <c r="G167" i="1"/>
  <c r="A167" i="1"/>
  <c r="I167" i="1" s="1"/>
  <c r="J166" i="1"/>
  <c r="I166" i="1"/>
  <c r="G166" i="1"/>
  <c r="J165" i="1"/>
  <c r="I165" i="1"/>
  <c r="G165" i="1"/>
  <c r="J164" i="1"/>
  <c r="I164" i="1"/>
  <c r="G164" i="1"/>
  <c r="J163" i="1"/>
  <c r="I163" i="1"/>
  <c r="G163" i="1"/>
  <c r="J162" i="1"/>
  <c r="I162" i="1"/>
  <c r="G162" i="1"/>
  <c r="J161" i="1"/>
  <c r="I161" i="1"/>
  <c r="G161" i="1"/>
  <c r="J160" i="1"/>
  <c r="I160" i="1"/>
  <c r="G160" i="1"/>
  <c r="J159" i="1"/>
  <c r="I159" i="1"/>
  <c r="G159" i="1"/>
  <c r="J158" i="1"/>
  <c r="I158" i="1"/>
  <c r="G158" i="1"/>
  <c r="E158" i="1"/>
  <c r="J157" i="1"/>
  <c r="I157" i="1"/>
  <c r="G157" i="1"/>
  <c r="J156" i="1"/>
  <c r="G156" i="1"/>
  <c r="D156" i="1"/>
  <c r="I156" i="1" s="1"/>
  <c r="J155" i="1"/>
  <c r="I155" i="1"/>
  <c r="G155" i="1"/>
  <c r="J154" i="1"/>
  <c r="I154" i="1"/>
  <c r="G154" i="1"/>
  <c r="J153" i="1"/>
  <c r="I153" i="1"/>
  <c r="G153" i="1"/>
  <c r="J152" i="1"/>
  <c r="I152" i="1"/>
  <c r="G152" i="1"/>
  <c r="J151" i="1"/>
  <c r="I151" i="1"/>
  <c r="G151" i="1"/>
  <c r="J150" i="1"/>
  <c r="I150" i="1"/>
  <c r="G150" i="1"/>
  <c r="J149" i="1"/>
  <c r="I149" i="1"/>
  <c r="G149" i="1"/>
  <c r="J148" i="1"/>
  <c r="I148" i="1"/>
  <c r="G148" i="1"/>
  <c r="J147" i="1"/>
  <c r="I147" i="1"/>
  <c r="G147" i="1"/>
  <c r="J146" i="1"/>
  <c r="I146" i="1"/>
  <c r="G146" i="1"/>
  <c r="J145" i="1"/>
  <c r="I145" i="1"/>
  <c r="G145" i="1"/>
  <c r="J144" i="1"/>
  <c r="I144" i="1"/>
  <c r="G144" i="1"/>
  <c r="J143" i="1"/>
  <c r="I143" i="1"/>
  <c r="G143" i="1"/>
  <c r="J142" i="1"/>
  <c r="I142" i="1"/>
  <c r="G142" i="1"/>
  <c r="J141" i="1"/>
  <c r="I141" i="1"/>
  <c r="G141" i="1"/>
  <c r="J140" i="1"/>
  <c r="I140" i="1"/>
  <c r="G140" i="1"/>
  <c r="J139" i="1"/>
  <c r="I139" i="1"/>
  <c r="G139" i="1"/>
  <c r="J138" i="1"/>
  <c r="I138" i="1"/>
  <c r="G138" i="1"/>
  <c r="J137" i="1"/>
  <c r="I137" i="1"/>
  <c r="G137" i="1"/>
  <c r="J136" i="1"/>
  <c r="I136" i="1"/>
  <c r="G136" i="1"/>
  <c r="J135" i="1"/>
  <c r="I135" i="1"/>
  <c r="G135" i="1"/>
  <c r="J134" i="1"/>
  <c r="I134" i="1"/>
  <c r="G134" i="1"/>
  <c r="A134" i="1"/>
  <c r="J133" i="1"/>
  <c r="I133" i="1"/>
  <c r="G133" i="1"/>
  <c r="J132" i="1"/>
  <c r="G132" i="1"/>
  <c r="C132" i="1"/>
  <c r="I132" i="1" s="1"/>
  <c r="J131" i="1"/>
  <c r="I131" i="1"/>
  <c r="G131" i="1"/>
  <c r="J130" i="1"/>
  <c r="I130" i="1"/>
  <c r="G130" i="1"/>
  <c r="J129" i="1"/>
  <c r="I129" i="1"/>
  <c r="G129" i="1"/>
  <c r="J128" i="1"/>
  <c r="I128" i="1"/>
  <c r="G128" i="1"/>
  <c r="J127" i="1"/>
  <c r="I127" i="1"/>
  <c r="G127" i="1"/>
  <c r="J126" i="1"/>
  <c r="I126" i="1"/>
  <c r="G126" i="1"/>
  <c r="J125" i="1"/>
  <c r="I125" i="1"/>
  <c r="G125" i="1"/>
  <c r="J124" i="1"/>
  <c r="I124" i="1"/>
  <c r="G124" i="1"/>
  <c r="J123" i="1"/>
  <c r="I123" i="1"/>
  <c r="G123" i="1"/>
  <c r="E123" i="1"/>
  <c r="J122" i="1"/>
  <c r="I122" i="1"/>
  <c r="G122" i="1"/>
  <c r="J121" i="1"/>
  <c r="I121" i="1"/>
  <c r="G121" i="1"/>
  <c r="J120" i="1"/>
  <c r="I120" i="1"/>
  <c r="G120" i="1"/>
  <c r="J119" i="1"/>
  <c r="I119" i="1"/>
  <c r="G119" i="1"/>
  <c r="J118" i="1"/>
  <c r="I118" i="1"/>
  <c r="G118" i="1"/>
  <c r="J117" i="1"/>
  <c r="I117" i="1"/>
  <c r="G117" i="1"/>
  <c r="J116" i="1"/>
  <c r="G116" i="1"/>
  <c r="A116" i="1"/>
  <c r="I116" i="1" s="1"/>
  <c r="J115" i="1"/>
  <c r="I115" i="1"/>
  <c r="G115" i="1"/>
  <c r="J114" i="1"/>
  <c r="I114" i="1"/>
  <c r="G114" i="1"/>
  <c r="J113" i="1"/>
  <c r="I113" i="1"/>
  <c r="G113" i="1"/>
  <c r="E113" i="1"/>
  <c r="J112" i="1"/>
  <c r="I112" i="1"/>
  <c r="G112" i="1"/>
  <c r="J111" i="1"/>
  <c r="I111" i="1"/>
  <c r="G111" i="1"/>
  <c r="J110" i="1"/>
  <c r="I110" i="1"/>
  <c r="G110" i="1"/>
  <c r="J109" i="1"/>
  <c r="I109" i="1"/>
  <c r="G109" i="1"/>
  <c r="J108" i="1"/>
  <c r="I108" i="1"/>
  <c r="G108" i="1"/>
  <c r="J107" i="1"/>
  <c r="I107" i="1"/>
  <c r="G107" i="1"/>
  <c r="J106" i="1"/>
  <c r="I106" i="1"/>
  <c r="G106" i="1"/>
  <c r="J105" i="1"/>
  <c r="I105" i="1"/>
  <c r="G105" i="1"/>
  <c r="J104" i="1"/>
  <c r="I104" i="1"/>
  <c r="G104" i="1"/>
  <c r="J103" i="1"/>
  <c r="I103" i="1"/>
  <c r="G103" i="1"/>
  <c r="J102" i="1"/>
  <c r="I102" i="1"/>
  <c r="G102" i="1"/>
  <c r="J101" i="1"/>
  <c r="I101" i="1"/>
  <c r="G101" i="1"/>
  <c r="J100" i="1"/>
  <c r="I100" i="1"/>
  <c r="G100" i="1"/>
  <c r="J99" i="1"/>
  <c r="I99" i="1"/>
  <c r="G99" i="1"/>
  <c r="J98" i="1"/>
  <c r="I98" i="1"/>
  <c r="G98" i="1"/>
  <c r="J97" i="1"/>
  <c r="I97" i="1"/>
  <c r="G97" i="1"/>
  <c r="J96" i="1"/>
  <c r="G96" i="1"/>
  <c r="D96" i="1"/>
  <c r="I96" i="1" s="1"/>
  <c r="I95" i="1"/>
  <c r="G95" i="1"/>
  <c r="B95" i="1"/>
  <c r="J95" i="1" s="1"/>
  <c r="J94" i="1"/>
  <c r="I94" i="1"/>
  <c r="G94" i="1"/>
  <c r="J93" i="1"/>
  <c r="I93" i="1"/>
  <c r="G93" i="1"/>
  <c r="J92" i="1"/>
  <c r="I92" i="1"/>
  <c r="G92" i="1"/>
  <c r="J91" i="1"/>
  <c r="I91" i="1"/>
  <c r="G91" i="1"/>
  <c r="J90" i="1"/>
  <c r="I90" i="1"/>
  <c r="G90" i="1"/>
  <c r="J89" i="1"/>
  <c r="G89" i="1"/>
  <c r="D89" i="1"/>
  <c r="I89" i="1" s="1"/>
  <c r="J88" i="1"/>
  <c r="I88" i="1"/>
  <c r="G88" i="1"/>
  <c r="J87" i="1"/>
  <c r="I87" i="1"/>
  <c r="G87" i="1"/>
  <c r="J86" i="1"/>
  <c r="I86" i="1"/>
  <c r="G86" i="1"/>
  <c r="J85" i="1"/>
  <c r="I85" i="1"/>
  <c r="G85" i="1"/>
  <c r="J84" i="1"/>
  <c r="I84" i="1"/>
  <c r="G84" i="1"/>
  <c r="J83" i="1"/>
  <c r="I83" i="1"/>
  <c r="G83" i="1"/>
  <c r="J82" i="1"/>
  <c r="I82" i="1"/>
  <c r="G82" i="1"/>
  <c r="J81" i="1"/>
  <c r="I81" i="1"/>
  <c r="G81" i="1"/>
  <c r="J80" i="1"/>
  <c r="I80" i="1"/>
  <c r="G80" i="1"/>
  <c r="G79" i="1"/>
  <c r="A79" i="1"/>
  <c r="I79" i="1" s="1"/>
  <c r="J78" i="1"/>
  <c r="I78" i="1"/>
  <c r="G78" i="1"/>
  <c r="E78" i="1"/>
  <c r="E80" i="1" s="1"/>
  <c r="J77" i="1"/>
  <c r="G77" i="1"/>
  <c r="C77" i="1"/>
  <c r="I77" i="1" s="1"/>
  <c r="J76" i="1"/>
  <c r="I76" i="1"/>
  <c r="G76" i="1"/>
  <c r="J75" i="1"/>
  <c r="G75" i="1"/>
  <c r="D75" i="1"/>
  <c r="I75" i="1" s="1"/>
  <c r="J74" i="1"/>
  <c r="I74" i="1"/>
  <c r="G74" i="1"/>
  <c r="J73" i="1"/>
  <c r="I73" i="1"/>
  <c r="G73" i="1"/>
  <c r="J72" i="1"/>
  <c r="I72" i="1"/>
  <c r="G72" i="1"/>
  <c r="J71" i="1"/>
  <c r="I71" i="1"/>
  <c r="G71" i="1"/>
  <c r="J70" i="1"/>
  <c r="I70" i="1"/>
  <c r="G70" i="1"/>
  <c r="J69" i="1"/>
  <c r="I69" i="1"/>
  <c r="G69" i="1"/>
  <c r="J68" i="1"/>
  <c r="I68" i="1"/>
  <c r="G68" i="1"/>
  <c r="J67" i="1"/>
  <c r="I67" i="1"/>
  <c r="G67" i="1"/>
  <c r="J66" i="1"/>
  <c r="I66" i="1"/>
  <c r="G66" i="1"/>
  <c r="J65" i="1"/>
  <c r="I65" i="1"/>
  <c r="G65" i="1"/>
  <c r="J64" i="1"/>
  <c r="I64" i="1"/>
  <c r="G64" i="1"/>
  <c r="J63" i="1"/>
  <c r="I63" i="1"/>
  <c r="G63" i="1"/>
  <c r="J62" i="1"/>
  <c r="I62" i="1"/>
  <c r="G62" i="1"/>
  <c r="J61" i="1"/>
  <c r="I61" i="1"/>
  <c r="G61" i="1"/>
  <c r="B61" i="1"/>
  <c r="J60" i="1"/>
  <c r="I60" i="1"/>
  <c r="G60" i="1"/>
  <c r="J59" i="1"/>
  <c r="I59" i="1"/>
  <c r="G59" i="1"/>
  <c r="E59" i="1"/>
  <c r="J58" i="1"/>
  <c r="I58" i="1"/>
  <c r="G58" i="1"/>
  <c r="J57" i="1"/>
  <c r="I57" i="1"/>
  <c r="G57" i="1"/>
  <c r="J56" i="1"/>
  <c r="I56" i="1"/>
  <c r="G56" i="1"/>
  <c r="J55" i="1"/>
  <c r="I55" i="1"/>
  <c r="G55" i="1"/>
  <c r="J54" i="1"/>
  <c r="I54" i="1"/>
  <c r="G54" i="1"/>
  <c r="J53" i="1"/>
  <c r="I53" i="1"/>
  <c r="G53" i="1"/>
  <c r="E53" i="1"/>
  <c r="J52" i="1"/>
  <c r="I52" i="1"/>
  <c r="G52" i="1"/>
  <c r="J51" i="1"/>
  <c r="I51" i="1"/>
  <c r="G51" i="1"/>
  <c r="J50" i="1"/>
  <c r="I50" i="1"/>
  <c r="G50" i="1"/>
  <c r="J49" i="1"/>
  <c r="I49" i="1"/>
  <c r="G49" i="1"/>
  <c r="J48" i="1"/>
  <c r="I48" i="1"/>
  <c r="G48" i="1"/>
  <c r="J47" i="1"/>
  <c r="I47" i="1"/>
  <c r="G47" i="1"/>
  <c r="J46" i="1"/>
  <c r="I46" i="1"/>
  <c r="G46" i="1"/>
  <c r="B46" i="1"/>
  <c r="J45" i="1"/>
  <c r="I45" i="1"/>
  <c r="G45" i="1"/>
  <c r="J44" i="1"/>
  <c r="I44" i="1"/>
  <c r="G44" i="1"/>
  <c r="J43" i="1"/>
  <c r="I43" i="1"/>
  <c r="G43" i="1"/>
  <c r="D43" i="1"/>
  <c r="C43" i="1"/>
  <c r="J42" i="1"/>
  <c r="I42" i="1"/>
  <c r="G42" i="1"/>
  <c r="J41" i="1"/>
  <c r="I41" i="1"/>
  <c r="G41" i="1"/>
  <c r="J40" i="1"/>
  <c r="I40" i="1"/>
  <c r="G40" i="1"/>
  <c r="J39" i="1"/>
  <c r="I39" i="1"/>
  <c r="G39" i="1"/>
  <c r="J38" i="1"/>
  <c r="I38" i="1"/>
  <c r="G38" i="1"/>
  <c r="J37" i="1"/>
  <c r="I37" i="1"/>
  <c r="G37" i="1"/>
  <c r="I36" i="1"/>
  <c r="G36" i="1"/>
  <c r="B36" i="1"/>
  <c r="J36" i="1" s="1"/>
  <c r="J35" i="1"/>
  <c r="G35" i="1"/>
  <c r="C35" i="1"/>
  <c r="I35" i="1" s="1"/>
  <c r="J34" i="1"/>
  <c r="I34" i="1"/>
  <c r="G34" i="1"/>
  <c r="J33" i="1"/>
  <c r="I33" i="1"/>
  <c r="G33" i="1"/>
  <c r="J32" i="1"/>
  <c r="I32" i="1"/>
  <c r="G32" i="1"/>
  <c r="J31" i="1"/>
  <c r="I31" i="1"/>
  <c r="G31" i="1"/>
  <c r="J30" i="1"/>
  <c r="I30" i="1"/>
  <c r="G30" i="1"/>
  <c r="J29" i="1"/>
  <c r="I29" i="1"/>
  <c r="G29" i="1"/>
  <c r="B29" i="1"/>
  <c r="J28" i="1"/>
  <c r="I28" i="1"/>
  <c r="G28" i="1"/>
  <c r="J27" i="1"/>
  <c r="I27" i="1"/>
  <c r="G27" i="1"/>
  <c r="J26" i="1"/>
  <c r="I26" i="1"/>
  <c r="G26" i="1"/>
  <c r="J25" i="1"/>
  <c r="I25" i="1"/>
  <c r="G25" i="1"/>
  <c r="J24" i="1"/>
  <c r="G24" i="1"/>
  <c r="D24" i="1"/>
  <c r="I24" i="1" s="1"/>
  <c r="J23" i="1"/>
  <c r="I23" i="1"/>
  <c r="G23" i="1"/>
  <c r="G22" i="1"/>
  <c r="C22" i="1"/>
  <c r="J22" i="1" s="1"/>
  <c r="J21" i="1"/>
  <c r="I21" i="1"/>
  <c r="G21" i="1"/>
  <c r="J20" i="1"/>
  <c r="I20" i="1"/>
  <c r="G20" i="1"/>
  <c r="G19" i="1"/>
  <c r="C19" i="1"/>
  <c r="J19" i="1" s="1"/>
  <c r="J18" i="1"/>
  <c r="I18" i="1"/>
  <c r="G18" i="1"/>
  <c r="J17" i="1"/>
  <c r="I17" i="1"/>
  <c r="G17" i="1"/>
  <c r="J16" i="1"/>
  <c r="I16" i="1"/>
  <c r="G16" i="1"/>
  <c r="J15" i="1"/>
  <c r="I15" i="1"/>
  <c r="G15" i="1"/>
  <c r="J14" i="1"/>
  <c r="I14" i="1"/>
  <c r="G14" i="1"/>
  <c r="J13" i="1"/>
  <c r="I13" i="1"/>
  <c r="G13" i="1"/>
  <c r="J12" i="1"/>
  <c r="I12" i="1"/>
  <c r="G12" i="1"/>
  <c r="J11" i="1"/>
  <c r="I11" i="1"/>
  <c r="G11" i="1"/>
  <c r="J10" i="1"/>
  <c r="I10" i="1"/>
  <c r="G10" i="1"/>
  <c r="J9" i="1"/>
  <c r="I9" i="1"/>
  <c r="G9" i="1"/>
  <c r="A9" i="1"/>
  <c r="G8" i="1"/>
  <c r="A8" i="1"/>
  <c r="I8" i="1" s="1"/>
  <c r="J7" i="1"/>
  <c r="I7" i="1"/>
  <c r="G7" i="1"/>
  <c r="J6" i="1"/>
  <c r="I6" i="1"/>
  <c r="G6" i="1"/>
  <c r="J5" i="1"/>
  <c r="I5" i="1"/>
  <c r="G5" i="1"/>
  <c r="J4" i="1"/>
  <c r="I4" i="1"/>
  <c r="G4" i="1"/>
  <c r="E4" i="1"/>
  <c r="J3" i="1"/>
  <c r="I3" i="1"/>
  <c r="G3" i="1"/>
  <c r="J2" i="1"/>
  <c r="I2" i="1"/>
  <c r="G2" i="1"/>
  <c r="I22" i="1" l="1"/>
  <c r="J167" i="1"/>
  <c r="J8" i="1"/>
  <c r="J79" i="1"/>
  <c r="I175" i="1"/>
  <c r="I19" i="1"/>
</calcChain>
</file>

<file path=xl/sharedStrings.xml><?xml version="1.0" encoding="utf-8"?>
<sst xmlns="http://schemas.openxmlformats.org/spreadsheetml/2006/main" count="198" uniqueCount="13">
  <si>
    <t>gaming_behavior_metric1</t>
  </si>
  <si>
    <t>sleep_related_metric</t>
  </si>
  <si>
    <t>activity_metric</t>
  </si>
  <si>
    <t>screen_related_metric</t>
  </si>
  <si>
    <t>time_metric</t>
  </si>
  <si>
    <t>Level_Group</t>
  </si>
  <si>
    <t>Category_Type</t>
  </si>
  <si>
    <t>gaming_behavior_label</t>
  </si>
  <si>
    <t>Weighted_Engagement_Score</t>
  </si>
  <si>
    <t>Engagement_Ratio</t>
  </si>
  <si>
    <t>Medium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</si>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</sst>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lyamikava/Desktop/Analytic%20for%20decision%20making/Illya_Mikava_gaming_behavior.xlsx" TargetMode="External"/><Relationship Id="rId1" Type="http://schemas.openxmlformats.org/officeDocument/2006/relationships/externalLinkPath" Target="/Users/ilyamikava/Desktop/Analytic%20for%20decision%20making/Illya_Mikava_gaming_behav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Level_Group vs Target Table "/>
      <sheetName val="Category_Type vs Target Table"/>
      <sheetName val="Cleaned &amp; Engineered Data"/>
      <sheetName val="Sheet1"/>
    </sheetNames>
    <sheetDataSet>
      <sheetData sheetId="0">
        <row r="2">
          <cell r="G2" t="str">
            <v>TypeA</v>
          </cell>
        </row>
        <row r="3">
          <cell r="G3" t="str">
            <v>TypeC</v>
          </cell>
        </row>
        <row r="4">
          <cell r="G4" t="str">
            <v>TypeC</v>
          </cell>
        </row>
        <row r="5">
          <cell r="G5" t="str">
            <v>TypeB</v>
          </cell>
        </row>
        <row r="6">
          <cell r="G6" t="str">
            <v>TypeC</v>
          </cell>
        </row>
        <row r="7">
          <cell r="G7" t="str">
            <v>TypeC</v>
          </cell>
        </row>
        <row r="8">
          <cell r="G8" t="str">
            <v>TypeC</v>
          </cell>
        </row>
        <row r="9">
          <cell r="G9" t="str">
            <v>TypeB</v>
          </cell>
        </row>
        <row r="10">
          <cell r="G10" t="str">
            <v>TypeB</v>
          </cell>
        </row>
        <row r="11">
          <cell r="G11" t="str">
            <v>TypeC</v>
          </cell>
        </row>
        <row r="12">
          <cell r="G12" t="str">
            <v>TypeB</v>
          </cell>
        </row>
        <row r="13">
          <cell r="G13" t="str">
            <v>TypeA</v>
          </cell>
        </row>
        <row r="14">
          <cell r="G14" t="str">
            <v>TypeA</v>
          </cell>
        </row>
        <row r="15">
          <cell r="G15" t="str">
            <v>TypeC</v>
          </cell>
        </row>
        <row r="16">
          <cell r="G16" t="str">
            <v>TypeA</v>
          </cell>
        </row>
        <row r="17">
          <cell r="G17" t="str">
            <v>TypeA</v>
          </cell>
        </row>
        <row r="18">
          <cell r="G18" t="str">
            <v>TypeB</v>
          </cell>
        </row>
        <row r="19">
          <cell r="G19" t="str">
            <v>TypeB</v>
          </cell>
        </row>
        <row r="20">
          <cell r="G20" t="str">
            <v>TypeC</v>
          </cell>
        </row>
        <row r="21">
          <cell r="G21" t="str">
            <v>TypeC</v>
          </cell>
        </row>
        <row r="22">
          <cell r="G22" t="str">
            <v>TypeB</v>
          </cell>
        </row>
        <row r="23">
          <cell r="G23" t="str">
            <v>TypeA</v>
          </cell>
        </row>
        <row r="24">
          <cell r="G24" t="str">
            <v>TypeC</v>
          </cell>
        </row>
        <row r="25">
          <cell r="G25" t="str">
            <v>TypeA</v>
          </cell>
        </row>
        <row r="26">
          <cell r="G26" t="str">
            <v>TypeB</v>
          </cell>
        </row>
        <row r="27">
          <cell r="G27" t="str">
            <v>TypeB</v>
          </cell>
        </row>
        <row r="28">
          <cell r="G28" t="str">
            <v>TypeA</v>
          </cell>
        </row>
        <row r="29">
          <cell r="G29" t="str">
            <v>TypeB</v>
          </cell>
        </row>
        <row r="31">
          <cell r="G31" t="str">
            <v>TypeC</v>
          </cell>
        </row>
        <row r="32">
          <cell r="G32" t="str">
            <v>TypeB</v>
          </cell>
        </row>
        <row r="33">
          <cell r="G33" t="str">
            <v>TypeB</v>
          </cell>
        </row>
        <row r="35">
          <cell r="G35" t="str">
            <v>TypeA</v>
          </cell>
        </row>
        <row r="36">
          <cell r="G36" t="str">
            <v>TypeC</v>
          </cell>
        </row>
        <row r="37">
          <cell r="G37" t="str">
            <v>TypeA</v>
          </cell>
        </row>
        <row r="38">
          <cell r="G38" t="str">
            <v>TypeC</v>
          </cell>
        </row>
        <row r="39">
          <cell r="G39" t="str">
            <v>TypeA</v>
          </cell>
        </row>
        <row r="40">
          <cell r="G40" t="str">
            <v>TypeA</v>
          </cell>
        </row>
        <row r="41">
          <cell r="G41" t="str">
            <v>TypeC</v>
          </cell>
        </row>
        <row r="42">
          <cell r="G42" t="str">
            <v>TypeC</v>
          </cell>
        </row>
        <row r="43">
          <cell r="G43" t="str">
            <v>TypeB</v>
          </cell>
        </row>
        <row r="44">
          <cell r="G44" t="str">
            <v>TypeB</v>
          </cell>
        </row>
        <row r="45">
          <cell r="G45" t="str">
            <v>TypeA</v>
          </cell>
        </row>
        <row r="46">
          <cell r="G46" t="str">
            <v>TypeB</v>
          </cell>
        </row>
        <row r="48">
          <cell r="G48" t="str">
            <v>TypeA</v>
          </cell>
        </row>
        <row r="49">
          <cell r="G49" t="str">
            <v>TypeB</v>
          </cell>
        </row>
        <row r="50">
          <cell r="G50" t="str">
            <v>TypeB</v>
          </cell>
        </row>
        <row r="51">
          <cell r="G51" t="str">
            <v>TypeA</v>
          </cell>
        </row>
        <row r="52">
          <cell r="G52" t="str">
            <v>TypeB</v>
          </cell>
        </row>
        <row r="53">
          <cell r="G53" t="str">
            <v>TypeA</v>
          </cell>
        </row>
        <row r="54">
          <cell r="G54" t="str">
            <v>TypeB</v>
          </cell>
        </row>
        <row r="55">
          <cell r="G55" t="str">
            <v>TypeA</v>
          </cell>
        </row>
        <row r="56">
          <cell r="G56" t="str">
            <v>TypeA</v>
          </cell>
        </row>
        <row r="57">
          <cell r="G57" t="str">
            <v>TypeA</v>
          </cell>
        </row>
        <row r="58">
          <cell r="G58" t="str">
            <v>TypeC</v>
          </cell>
        </row>
        <row r="59">
          <cell r="G59" t="str">
            <v>TypeA</v>
          </cell>
        </row>
        <row r="60">
          <cell r="G60" t="str">
            <v>TypeA</v>
          </cell>
        </row>
        <row r="61">
          <cell r="G61" t="str">
            <v>TypeC</v>
          </cell>
        </row>
        <row r="62">
          <cell r="G62" t="str">
            <v>TypeB</v>
          </cell>
        </row>
        <row r="63">
          <cell r="G63" t="str">
            <v>TypeA</v>
          </cell>
        </row>
        <row r="64">
          <cell r="G64" t="str">
            <v>TypeC</v>
          </cell>
        </row>
        <row r="65">
          <cell r="G65" t="str">
            <v>TypeC</v>
          </cell>
        </row>
        <row r="66">
          <cell r="G66" t="str">
            <v>TypeA</v>
          </cell>
        </row>
        <row r="67">
          <cell r="G67" t="str">
            <v>TypeC</v>
          </cell>
        </row>
        <row r="68">
          <cell r="G68" t="str">
            <v>TypeA</v>
          </cell>
        </row>
        <row r="69">
          <cell r="G69" t="str">
            <v>TypeC</v>
          </cell>
        </row>
        <row r="70">
          <cell r="G70" t="str">
            <v>TypeB</v>
          </cell>
        </row>
        <row r="71">
          <cell r="G71" t="str">
            <v>TypeB</v>
          </cell>
        </row>
        <row r="72">
          <cell r="G72" t="str">
            <v>TypeA</v>
          </cell>
        </row>
        <row r="73">
          <cell r="G73" t="str">
            <v>TypeB</v>
          </cell>
        </row>
        <row r="74">
          <cell r="G74" t="str">
            <v>TypeA</v>
          </cell>
        </row>
        <row r="75">
          <cell r="G75" t="str">
            <v>TypeB</v>
          </cell>
        </row>
        <row r="76">
          <cell r="G76" t="str">
            <v>TypeC</v>
          </cell>
        </row>
        <row r="77">
          <cell r="G77" t="str">
            <v>TypeA</v>
          </cell>
        </row>
        <row r="78">
          <cell r="G78" t="str">
            <v>TypeC</v>
          </cell>
        </row>
        <row r="79">
          <cell r="G79" t="str">
            <v>TypeB</v>
          </cell>
        </row>
        <row r="80">
          <cell r="G80" t="str">
            <v>TypeC</v>
          </cell>
        </row>
        <row r="81">
          <cell r="G81" t="str">
            <v>TypeC</v>
          </cell>
        </row>
        <row r="83">
          <cell r="G83" t="str">
            <v>TypeB</v>
          </cell>
        </row>
        <row r="84">
          <cell r="G84" t="str">
            <v>TypeB</v>
          </cell>
        </row>
        <row r="85">
          <cell r="G85" t="str">
            <v>TypeA</v>
          </cell>
        </row>
        <row r="86">
          <cell r="G86" t="str">
            <v>TypeB</v>
          </cell>
        </row>
        <row r="87">
          <cell r="G87" t="str">
            <v>TypeA</v>
          </cell>
        </row>
        <row r="88">
          <cell r="G88" t="str">
            <v>TypeA</v>
          </cell>
        </row>
        <row r="89">
          <cell r="G89" t="str">
            <v>TypeA</v>
          </cell>
        </row>
        <row r="90">
          <cell r="G90" t="str">
            <v>TypeA</v>
          </cell>
        </row>
        <row r="91">
          <cell r="G91" t="str">
            <v>TypeA</v>
          </cell>
        </row>
        <row r="92">
          <cell r="G92" t="str">
            <v>TypeA</v>
          </cell>
        </row>
        <row r="93">
          <cell r="G93" t="str">
            <v>TypeA</v>
          </cell>
        </row>
        <row r="94">
          <cell r="G94" t="str">
            <v>TypeC</v>
          </cell>
        </row>
        <row r="95">
          <cell r="G95" t="str">
            <v>TypeB</v>
          </cell>
        </row>
        <row r="96">
          <cell r="G96" t="str">
            <v>TypeA</v>
          </cell>
        </row>
        <row r="97">
          <cell r="G97" t="str">
            <v>TypeC</v>
          </cell>
        </row>
        <row r="98">
          <cell r="G98" t="str">
            <v>TypeC</v>
          </cell>
        </row>
        <row r="100">
          <cell r="G100" t="str">
            <v>TypeA</v>
          </cell>
        </row>
        <row r="101">
          <cell r="G101" t="str">
            <v>TypeA</v>
          </cell>
        </row>
        <row r="102">
          <cell r="G102" t="str">
            <v>TypeC</v>
          </cell>
        </row>
        <row r="103">
          <cell r="G103" t="str">
            <v>TypeA</v>
          </cell>
        </row>
        <row r="104">
          <cell r="G104" t="str">
            <v>TypeA</v>
          </cell>
        </row>
        <row r="105">
          <cell r="G105" t="str">
            <v>TypeB</v>
          </cell>
        </row>
        <row r="106">
          <cell r="G106" t="str">
            <v>TypeB</v>
          </cell>
        </row>
        <row r="107">
          <cell r="G107" t="str">
            <v>TypeB</v>
          </cell>
        </row>
        <row r="108">
          <cell r="G108" t="str">
            <v>TypeB</v>
          </cell>
        </row>
        <row r="109">
          <cell r="G109" t="str">
            <v>TypeB</v>
          </cell>
        </row>
        <row r="110">
          <cell r="G110" t="str">
            <v>TypeA</v>
          </cell>
        </row>
        <row r="111">
          <cell r="G111" t="str">
            <v>TypeB</v>
          </cell>
        </row>
        <row r="112">
          <cell r="G112" t="str">
            <v>TypeB</v>
          </cell>
        </row>
        <row r="113">
          <cell r="G113" t="str">
            <v>TypeA</v>
          </cell>
        </row>
        <row r="114">
          <cell r="G114" t="str">
            <v>TypeA</v>
          </cell>
        </row>
        <row r="115">
          <cell r="G115" t="str">
            <v>TypeB</v>
          </cell>
        </row>
        <row r="116">
          <cell r="G116" t="str">
            <v>TypeA</v>
          </cell>
        </row>
        <row r="117">
          <cell r="G117" t="str">
            <v>TypeA</v>
          </cell>
        </row>
        <row r="118">
          <cell r="G118" t="str">
            <v>TypeA</v>
          </cell>
        </row>
        <row r="119">
          <cell r="G119" t="str">
            <v>TypeC</v>
          </cell>
        </row>
        <row r="120">
          <cell r="G120" t="str">
            <v>TypeB</v>
          </cell>
        </row>
        <row r="121">
          <cell r="G121" t="str">
            <v>TypeB</v>
          </cell>
        </row>
        <row r="122">
          <cell r="G122" t="str">
            <v>TypeB</v>
          </cell>
        </row>
        <row r="123">
          <cell r="G123" t="str">
            <v>TypeA</v>
          </cell>
        </row>
        <row r="124">
          <cell r="G124" t="str">
            <v>TypeC</v>
          </cell>
        </row>
        <row r="125">
          <cell r="G125" t="str">
            <v>TypeC</v>
          </cell>
        </row>
        <row r="127">
          <cell r="G127" t="str">
            <v>TypeC</v>
          </cell>
        </row>
        <row r="128">
          <cell r="G128" t="str">
            <v>TypeB</v>
          </cell>
        </row>
        <row r="129">
          <cell r="G129" t="str">
            <v>TypeA</v>
          </cell>
        </row>
        <row r="130">
          <cell r="G130" t="str">
            <v>TypeC</v>
          </cell>
        </row>
        <row r="131">
          <cell r="G131" t="str">
            <v>TypeB</v>
          </cell>
        </row>
        <row r="132">
          <cell r="G132" t="str">
            <v>TypeB</v>
          </cell>
        </row>
        <row r="134">
          <cell r="G134" t="str">
            <v>TypeA</v>
          </cell>
        </row>
        <row r="135">
          <cell r="G135" t="str">
            <v>TypeA</v>
          </cell>
        </row>
        <row r="136">
          <cell r="G136" t="str">
            <v>TypeA</v>
          </cell>
        </row>
        <row r="137">
          <cell r="G137" t="str">
            <v>TypeA</v>
          </cell>
        </row>
        <row r="138">
          <cell r="G138" t="str">
            <v>TypeB</v>
          </cell>
        </row>
        <row r="141">
          <cell r="G141" t="str">
            <v>TypeA</v>
          </cell>
        </row>
        <row r="142">
          <cell r="G142" t="str">
            <v>TypeB</v>
          </cell>
        </row>
        <row r="143">
          <cell r="G143" t="str">
            <v>TypeA</v>
          </cell>
        </row>
        <row r="144">
          <cell r="G144" t="str">
            <v>TypeC</v>
          </cell>
        </row>
        <row r="145">
          <cell r="G145" t="str">
            <v>TypeB</v>
          </cell>
        </row>
        <row r="146">
          <cell r="G146" t="str">
            <v>TypeA</v>
          </cell>
        </row>
        <row r="148">
          <cell r="G148" t="str">
            <v>TypeB</v>
          </cell>
        </row>
        <row r="150">
          <cell r="G150" t="str">
            <v>TypeB</v>
          </cell>
        </row>
        <row r="151">
          <cell r="G151" t="str">
            <v>TypeA</v>
          </cell>
        </row>
        <row r="152">
          <cell r="G152" t="str">
            <v>TypeC</v>
          </cell>
        </row>
        <row r="153">
          <cell r="G153" t="str">
            <v>TypeB</v>
          </cell>
        </row>
        <row r="154">
          <cell r="G154" t="str">
            <v>TypeC</v>
          </cell>
        </row>
        <row r="155">
          <cell r="G155" t="str">
            <v>TypeB</v>
          </cell>
        </row>
        <row r="157">
          <cell r="G157" t="str">
            <v>TypeA</v>
          </cell>
        </row>
        <row r="158">
          <cell r="G158" t="str">
            <v>TypeB</v>
          </cell>
        </row>
        <row r="159">
          <cell r="G159" t="str">
            <v>TypeC</v>
          </cell>
        </row>
        <row r="160">
          <cell r="G160" t="str">
            <v>TypeA</v>
          </cell>
        </row>
        <row r="161">
          <cell r="G161" t="str">
            <v>TypeA</v>
          </cell>
        </row>
        <row r="162">
          <cell r="G162" t="str">
            <v>TypeB</v>
          </cell>
        </row>
        <row r="163">
          <cell r="G163" t="str">
            <v>TypeA</v>
          </cell>
        </row>
        <row r="164">
          <cell r="G164" t="str">
            <v>TypeC</v>
          </cell>
        </row>
        <row r="165">
          <cell r="G165" t="str">
            <v>TypeC</v>
          </cell>
        </row>
        <row r="166">
          <cell r="G166" t="str">
            <v>TypeA</v>
          </cell>
        </row>
        <row r="167">
          <cell r="G167" t="str">
            <v>TypeC</v>
          </cell>
        </row>
        <row r="168">
          <cell r="G168" t="str">
            <v>TypeC</v>
          </cell>
        </row>
        <row r="169">
          <cell r="G169" t="str">
            <v>TypeB</v>
          </cell>
        </row>
        <row r="170">
          <cell r="G170" t="str">
            <v>TypeB</v>
          </cell>
        </row>
        <row r="171">
          <cell r="G171" t="str">
            <v>TypeB</v>
          </cell>
        </row>
        <row r="172">
          <cell r="G172" t="str">
            <v>TypeC</v>
          </cell>
        </row>
        <row r="173">
          <cell r="G173" t="str">
            <v>TypeB</v>
          </cell>
        </row>
        <row r="174">
          <cell r="G174" t="str">
            <v>TypeB</v>
          </cell>
        </row>
        <row r="175">
          <cell r="G175" t="str">
            <v>TypeA</v>
          </cell>
        </row>
        <row r="176">
          <cell r="G176" t="str">
            <v>TypeA</v>
          </cell>
        </row>
        <row r="177">
          <cell r="G177" t="str">
            <v>TypeB</v>
          </cell>
        </row>
        <row r="178">
          <cell r="G178" t="str">
            <v>TypeB</v>
          </cell>
        </row>
        <row r="179">
          <cell r="G179" t="str">
            <v>TypeA</v>
          </cell>
        </row>
        <row r="180">
          <cell r="G180" t="str">
            <v>TypeC</v>
          </cell>
        </row>
        <row r="181">
          <cell r="G181" t="str">
            <v>TypeB</v>
          </cell>
        </row>
        <row r="182">
          <cell r="G182" t="str">
            <v>TypeB</v>
          </cell>
        </row>
        <row r="183">
          <cell r="G183" t="str">
            <v>TypeC</v>
          </cell>
        </row>
        <row r="185">
          <cell r="G185" t="str">
            <v>TypeC</v>
          </cell>
        </row>
        <row r="186">
          <cell r="G186" t="str">
            <v>TypeC</v>
          </cell>
        </row>
        <row r="187">
          <cell r="G187" t="str">
            <v>TypeB</v>
          </cell>
        </row>
        <row r="188">
          <cell r="G188" t="str">
            <v>TypeB</v>
          </cell>
        </row>
        <row r="189">
          <cell r="G189" t="str">
            <v>TypeA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D21C-0723-5244-A31A-B212F4A11B69}">
  <dimension ref="A1:J189"/>
  <sheetViews>
    <sheetView tabSelected="1" topLeftCell="A27" workbookViewId="0">
      <selection sqref="A1:J189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spans="1:10" x14ac:dyDescent="0.2">
      <c r="A2">
        <v>29.46</v>
      </c>
      <c r="B2">
        <v>6.21</v>
      </c>
      <c r="C2">
        <v>1.26</v>
      </c>
      <c r="D2">
        <v>5.83</v>
      </c>
      <c r="E2">
        <v>38.83</v>
      </c>
      <c r="F2" t="s">
        <v>10</v>
      </c>
      <c r="G2" t="str">
        <f>IF('[1]Raw Data'!G2="", "Unknown", '[1]Raw Data'!G2)</f>
        <v>TypeA</v>
      </c>
      <c r="H2">
        <v>0</v>
      </c>
      <c r="I2">
        <f t="shared" ref="I2:I65" si="0" xml:space="preserve"> (A2 * 0.8) + (C2 * 0.1) + (D2 * 0.1)</f>
        <v>24.277000000000001</v>
      </c>
      <c r="J2">
        <f t="shared" ref="J2:J65" si="1" xml:space="preserve"> A2/ (B2 + C2 + 0.1)</f>
        <v>3.8916776750330255</v>
      </c>
    </row>
    <row r="3" spans="1:10" x14ac:dyDescent="0.2">
      <c r="A3">
        <v>54.43</v>
      </c>
      <c r="B3">
        <v>5.28</v>
      </c>
      <c r="C3">
        <v>5.29</v>
      </c>
      <c r="D3">
        <v>5.6</v>
      </c>
      <c r="E3">
        <v>50.89</v>
      </c>
      <c r="F3" t="s">
        <v>10</v>
      </c>
      <c r="G3" t="str">
        <f>IF('[1]Raw Data'!G3="", "Unknown", '[1]Raw Data'!G3)</f>
        <v>TypeC</v>
      </c>
      <c r="H3">
        <v>0</v>
      </c>
      <c r="I3">
        <f t="shared" si="0"/>
        <v>44.63300000000001</v>
      </c>
      <c r="J3">
        <f t="shared" si="1"/>
        <v>5.1012183692596063</v>
      </c>
    </row>
    <row r="4" spans="1:10" x14ac:dyDescent="0.2">
      <c r="A4">
        <v>72.61</v>
      </c>
      <c r="B4">
        <v>5.37</v>
      </c>
      <c r="C4">
        <v>2.84</v>
      </c>
      <c r="D4">
        <v>4.3499999999999996</v>
      </c>
      <c r="E4">
        <f>IF(ISBLANK(E2), AVERAGE($E$2:$E$141), E2)</f>
        <v>38.83</v>
      </c>
      <c r="F4" t="s">
        <v>10</v>
      </c>
      <c r="G4" t="str">
        <f>IF('[1]Raw Data'!G4="", "Unknown", '[1]Raw Data'!G4)</f>
        <v>TypeC</v>
      </c>
      <c r="H4">
        <v>1</v>
      </c>
      <c r="I4">
        <f xml:space="preserve"> (A4 * 0.8) + (C4 * 0.1) + (D4 * 0.1)</f>
        <v>58.807000000000002</v>
      </c>
      <c r="J4">
        <f t="shared" si="1"/>
        <v>8.7376654632972315</v>
      </c>
    </row>
    <row r="5" spans="1:10" x14ac:dyDescent="0.2">
      <c r="A5">
        <v>38.15</v>
      </c>
      <c r="B5">
        <v>9.8000000000000007</v>
      </c>
      <c r="C5">
        <v>0.5</v>
      </c>
      <c r="D5">
        <v>4.05</v>
      </c>
      <c r="E5">
        <v>40.54</v>
      </c>
      <c r="F5" t="s">
        <v>11</v>
      </c>
      <c r="G5" t="str">
        <f>IF('[1]Raw Data'!G5="", "Unknown", '[1]Raw Data'!G5)</f>
        <v>TypeB</v>
      </c>
      <c r="H5">
        <v>1</v>
      </c>
      <c r="I5">
        <f t="shared" si="0"/>
        <v>30.975000000000001</v>
      </c>
      <c r="J5">
        <f t="shared" si="1"/>
        <v>3.6682692307692304</v>
      </c>
    </row>
    <row r="6" spans="1:10" x14ac:dyDescent="0.2">
      <c r="A6">
        <v>52.38</v>
      </c>
      <c r="B6">
        <v>8.1300000000000008</v>
      </c>
      <c r="C6">
        <v>0.88</v>
      </c>
      <c r="D6">
        <v>2.71</v>
      </c>
      <c r="E6">
        <v>35.75</v>
      </c>
      <c r="F6" t="s">
        <v>12</v>
      </c>
      <c r="G6" t="str">
        <f>IF('[1]Raw Data'!G6="", "Unknown", '[1]Raw Data'!G6)</f>
        <v>TypeC</v>
      </c>
      <c r="H6">
        <v>0</v>
      </c>
      <c r="I6">
        <f t="shared" si="0"/>
        <v>42.263000000000005</v>
      </c>
      <c r="J6">
        <f t="shared" si="1"/>
        <v>5.7497255762897908</v>
      </c>
    </row>
    <row r="7" spans="1:10" x14ac:dyDescent="0.2">
      <c r="A7">
        <v>40.31</v>
      </c>
      <c r="B7">
        <v>4.58</v>
      </c>
      <c r="C7">
        <v>3.01</v>
      </c>
      <c r="D7">
        <v>7.42</v>
      </c>
      <c r="E7">
        <v>6.92</v>
      </c>
      <c r="F7" t="s">
        <v>12</v>
      </c>
      <c r="G7" t="str">
        <f>IF('[1]Raw Data'!G7="", "Unknown", '[1]Raw Data'!G7)</f>
        <v>TypeC</v>
      </c>
      <c r="H7">
        <v>0</v>
      </c>
      <c r="I7">
        <f t="shared" si="0"/>
        <v>33.291000000000004</v>
      </c>
      <c r="J7">
        <f t="shared" si="1"/>
        <v>5.2418725617685311</v>
      </c>
    </row>
    <row r="8" spans="1:10" x14ac:dyDescent="0.2">
      <c r="A8">
        <f>IF(ISBLANK(A2), AVERAGE($A$2:$A$141), A2)</f>
        <v>29.46</v>
      </c>
      <c r="B8">
        <v>4.4400000000000004</v>
      </c>
      <c r="C8">
        <v>0</v>
      </c>
      <c r="D8">
        <v>6.01</v>
      </c>
      <c r="E8">
        <v>18.47</v>
      </c>
      <c r="F8" t="s">
        <v>10</v>
      </c>
      <c r="G8" t="str">
        <f>IF('[1]Raw Data'!G8="", "Unknown", '[1]Raw Data'!G8)</f>
        <v>TypeC</v>
      </c>
      <c r="H8">
        <v>0</v>
      </c>
      <c r="I8">
        <f t="shared" si="0"/>
        <v>24.169</v>
      </c>
      <c r="J8">
        <f t="shared" si="1"/>
        <v>6.4889867841409696</v>
      </c>
    </row>
    <row r="9" spans="1:10" ht="17" x14ac:dyDescent="0.25">
      <c r="A9" s="4">
        <f>IF(ISBLANK(A2), AVERAGE($A$2:$A$141), A2)</f>
        <v>29.46</v>
      </c>
      <c r="B9">
        <v>5.83</v>
      </c>
      <c r="C9">
        <v>0</v>
      </c>
      <c r="D9">
        <v>4.9000000000000004</v>
      </c>
      <c r="E9">
        <v>3.13</v>
      </c>
      <c r="F9" t="s">
        <v>12</v>
      </c>
      <c r="G9" t="str">
        <f>IF('[1]Raw Data'!G9="", "Unknown", '[1]Raw Data'!G9)</f>
        <v>TypeB</v>
      </c>
      <c r="H9">
        <v>0</v>
      </c>
      <c r="I9">
        <f t="shared" si="0"/>
        <v>24.058</v>
      </c>
      <c r="J9">
        <f t="shared" si="1"/>
        <v>4.9679595278246209</v>
      </c>
    </row>
    <row r="10" spans="1:10" x14ac:dyDescent="0.2">
      <c r="A10">
        <v>68.040000000000006</v>
      </c>
      <c r="B10">
        <v>10.09</v>
      </c>
      <c r="C10">
        <v>1.62</v>
      </c>
      <c r="D10">
        <v>7.05</v>
      </c>
      <c r="E10">
        <v>37.18</v>
      </c>
      <c r="F10" t="s">
        <v>10</v>
      </c>
      <c r="G10" t="str">
        <f>IF('[1]Raw Data'!G10="", "Unknown", '[1]Raw Data'!G10)</f>
        <v>TypeB</v>
      </c>
      <c r="H10">
        <v>0</v>
      </c>
      <c r="I10">
        <f t="shared" si="0"/>
        <v>55.299000000000007</v>
      </c>
      <c r="J10">
        <f t="shared" si="1"/>
        <v>5.7612193056731584</v>
      </c>
    </row>
    <row r="11" spans="1:10" x14ac:dyDescent="0.2">
      <c r="A11">
        <v>76.290000000000006</v>
      </c>
      <c r="B11">
        <v>7.84</v>
      </c>
      <c r="C11">
        <v>2.4</v>
      </c>
      <c r="D11">
        <v>5.47</v>
      </c>
      <c r="E11">
        <v>30.13</v>
      </c>
      <c r="F11" t="s">
        <v>10</v>
      </c>
      <c r="G11" t="str">
        <f>IF('[1]Raw Data'!G11="", "Unknown", '[1]Raw Data'!G11)</f>
        <v>TypeC</v>
      </c>
      <c r="H11">
        <v>0</v>
      </c>
      <c r="I11">
        <f t="shared" si="0"/>
        <v>61.81900000000001</v>
      </c>
      <c r="J11">
        <f t="shared" si="1"/>
        <v>7.3781431334622827</v>
      </c>
    </row>
    <row r="12" spans="1:10" x14ac:dyDescent="0.2">
      <c r="A12">
        <v>65.42</v>
      </c>
      <c r="B12">
        <v>5</v>
      </c>
      <c r="C12">
        <v>1.3</v>
      </c>
      <c r="D12">
        <v>7.62</v>
      </c>
      <c r="E12">
        <v>27.67</v>
      </c>
      <c r="F12" t="s">
        <v>10</v>
      </c>
      <c r="G12" t="str">
        <f>IF('[1]Raw Data'!G12="", "Unknown", '[1]Raw Data'!G12)</f>
        <v>TypeB</v>
      </c>
      <c r="H12">
        <v>1</v>
      </c>
      <c r="I12">
        <f t="shared" si="0"/>
        <v>53.228000000000009</v>
      </c>
      <c r="J12">
        <f t="shared" si="1"/>
        <v>10.221875000000001</v>
      </c>
    </row>
    <row r="13" spans="1:10" x14ac:dyDescent="0.2">
      <c r="A13">
        <v>44.32</v>
      </c>
      <c r="B13">
        <v>7.64</v>
      </c>
      <c r="C13">
        <v>2.84</v>
      </c>
      <c r="D13">
        <v>8.02</v>
      </c>
      <c r="E13">
        <v>10.9</v>
      </c>
      <c r="F13" t="s">
        <v>11</v>
      </c>
      <c r="G13" t="str">
        <f>IF('[1]Raw Data'!G13="", "Unknown", '[1]Raw Data'!G13)</f>
        <v>TypeA</v>
      </c>
      <c r="H13">
        <v>0</v>
      </c>
      <c r="I13">
        <f t="shared" si="0"/>
        <v>36.542000000000002</v>
      </c>
      <c r="J13">
        <f t="shared" si="1"/>
        <v>4.1890359168241966</v>
      </c>
    </row>
    <row r="14" spans="1:10" x14ac:dyDescent="0.2">
      <c r="A14">
        <v>32.21</v>
      </c>
      <c r="B14">
        <v>4.83</v>
      </c>
      <c r="C14">
        <v>2.63</v>
      </c>
      <c r="D14">
        <v>9.66</v>
      </c>
      <c r="E14">
        <v>42.47</v>
      </c>
      <c r="F14" t="s">
        <v>10</v>
      </c>
      <c r="G14" t="str">
        <f>IF('[1]Raw Data'!G14="", "Unknown", '[1]Raw Data'!G14)</f>
        <v>TypeA</v>
      </c>
      <c r="H14">
        <v>0</v>
      </c>
      <c r="I14">
        <f t="shared" si="0"/>
        <v>26.997000000000003</v>
      </c>
      <c r="J14">
        <f t="shared" si="1"/>
        <v>4.2605820105820111</v>
      </c>
    </row>
    <row r="15" spans="1:10" x14ac:dyDescent="0.2">
      <c r="A15">
        <v>58.08</v>
      </c>
      <c r="B15">
        <v>8.99</v>
      </c>
      <c r="C15">
        <v>5.87</v>
      </c>
      <c r="D15">
        <v>7.52</v>
      </c>
      <c r="E15">
        <v>34.659999999999997</v>
      </c>
      <c r="F15" t="s">
        <v>11</v>
      </c>
      <c r="G15" t="str">
        <f>IF('[1]Raw Data'!G15="", "Unknown", '[1]Raw Data'!G15)</f>
        <v>TypeC</v>
      </c>
      <c r="H15">
        <v>0</v>
      </c>
      <c r="I15">
        <f t="shared" si="0"/>
        <v>47.803000000000004</v>
      </c>
      <c r="J15">
        <f t="shared" si="1"/>
        <v>3.8823529411764706</v>
      </c>
    </row>
    <row r="16" spans="1:10" x14ac:dyDescent="0.2">
      <c r="A16">
        <v>27.1</v>
      </c>
      <c r="B16">
        <v>6</v>
      </c>
      <c r="C16">
        <v>6.02</v>
      </c>
      <c r="D16">
        <v>11.78</v>
      </c>
      <c r="E16">
        <v>50.91</v>
      </c>
      <c r="F16" t="s">
        <v>10</v>
      </c>
      <c r="G16" t="str">
        <f>IF('[1]Raw Data'!G16="", "Unknown", '[1]Raw Data'!G16)</f>
        <v>TypeA</v>
      </c>
      <c r="H16">
        <v>1</v>
      </c>
      <c r="I16">
        <f t="shared" si="0"/>
        <v>23.460000000000004</v>
      </c>
      <c r="J16">
        <f t="shared" si="1"/>
        <v>2.2359735973597363</v>
      </c>
    </row>
    <row r="17" spans="1:10" x14ac:dyDescent="0.2">
      <c r="A17">
        <v>60.91</v>
      </c>
      <c r="B17">
        <v>6</v>
      </c>
      <c r="C17">
        <v>3.93</v>
      </c>
      <c r="D17">
        <v>4.07</v>
      </c>
      <c r="E17">
        <v>26.64</v>
      </c>
      <c r="F17" t="s">
        <v>12</v>
      </c>
      <c r="G17" t="str">
        <f>IF('[1]Raw Data'!G17="", "Unknown", '[1]Raw Data'!G17)</f>
        <v>TypeA</v>
      </c>
      <c r="H17">
        <v>0</v>
      </c>
      <c r="I17">
        <f t="shared" si="0"/>
        <v>49.528000000000006</v>
      </c>
      <c r="J17">
        <f t="shared" si="1"/>
        <v>6.0727816550348956</v>
      </c>
    </row>
    <row r="18" spans="1:10" x14ac:dyDescent="0.2">
      <c r="A18">
        <v>79.08</v>
      </c>
      <c r="B18">
        <v>6.62</v>
      </c>
      <c r="C18">
        <v>3.18</v>
      </c>
      <c r="D18">
        <v>6.81</v>
      </c>
      <c r="E18">
        <v>64.56</v>
      </c>
      <c r="F18" t="s">
        <v>11</v>
      </c>
      <c r="G18" t="str">
        <f>IF('[1]Raw Data'!G18="", "Unknown", '[1]Raw Data'!G18)</f>
        <v>TypeB</v>
      </c>
      <c r="H18">
        <v>0</v>
      </c>
      <c r="I18">
        <f t="shared" si="0"/>
        <v>64.263000000000005</v>
      </c>
      <c r="J18">
        <f t="shared" si="1"/>
        <v>7.9878787878787874</v>
      </c>
    </row>
    <row r="19" spans="1:10" ht="17" x14ac:dyDescent="0.25">
      <c r="A19">
        <v>74.48</v>
      </c>
      <c r="B19">
        <v>6.75</v>
      </c>
      <c r="C19" s="4">
        <f>IF(ISBLANK(C2), AVERAGE($C$2:$C$141), C2)</f>
        <v>1.26</v>
      </c>
      <c r="D19">
        <v>4.5</v>
      </c>
      <c r="E19">
        <v>45.93</v>
      </c>
      <c r="F19" t="s">
        <v>11</v>
      </c>
      <c r="G19" t="str">
        <f>IF('[1]Raw Data'!G19="", "Unknown", '[1]Raw Data'!G19)</f>
        <v>TypeB</v>
      </c>
      <c r="H19">
        <v>0</v>
      </c>
      <c r="I19">
        <f t="shared" si="0"/>
        <v>60.160000000000004</v>
      </c>
      <c r="J19">
        <f t="shared" si="1"/>
        <v>9.1837237977805195</v>
      </c>
    </row>
    <row r="20" spans="1:10" x14ac:dyDescent="0.2">
      <c r="A20">
        <v>54.42</v>
      </c>
      <c r="B20">
        <v>4.59</v>
      </c>
      <c r="C20">
        <v>2.83</v>
      </c>
      <c r="D20">
        <v>6.59</v>
      </c>
      <c r="E20">
        <v>1.45</v>
      </c>
      <c r="F20" t="s">
        <v>12</v>
      </c>
      <c r="G20" t="str">
        <f>IF('[1]Raw Data'!G20="", "Unknown", '[1]Raw Data'!G20)</f>
        <v>TypeC</v>
      </c>
      <c r="H20">
        <v>1</v>
      </c>
      <c r="I20">
        <f t="shared" si="0"/>
        <v>44.478000000000002</v>
      </c>
      <c r="J20">
        <f t="shared" si="1"/>
        <v>7.2367021276595755</v>
      </c>
    </row>
    <row r="21" spans="1:10" x14ac:dyDescent="0.2">
      <c r="A21">
        <v>86.13</v>
      </c>
      <c r="B21">
        <v>6.7</v>
      </c>
      <c r="C21">
        <v>1.44</v>
      </c>
      <c r="D21">
        <v>4.88</v>
      </c>
      <c r="E21">
        <v>12.52</v>
      </c>
      <c r="F21" t="s">
        <v>10</v>
      </c>
      <c r="G21" t="str">
        <f>IF('[1]Raw Data'!G21="", "Unknown", '[1]Raw Data'!G21)</f>
        <v>TypeC</v>
      </c>
      <c r="H21">
        <v>1</v>
      </c>
      <c r="I21">
        <f t="shared" si="0"/>
        <v>69.536000000000001</v>
      </c>
      <c r="J21">
        <f t="shared" si="1"/>
        <v>10.452669902912621</v>
      </c>
    </row>
    <row r="22" spans="1:10" ht="17" x14ac:dyDescent="0.25">
      <c r="A22">
        <v>46.17</v>
      </c>
      <c r="B22">
        <v>7.54</v>
      </c>
      <c r="C22" s="4">
        <f>IF(ISBLANK(C5), AVERAGE($C$2:$C$141), C5)</f>
        <v>0.5</v>
      </c>
      <c r="D22">
        <v>11.57</v>
      </c>
      <c r="E22">
        <v>44.41</v>
      </c>
      <c r="F22" t="s">
        <v>12</v>
      </c>
      <c r="G22" t="str">
        <f>IF('[1]Raw Data'!G22="", "Unknown", '[1]Raw Data'!G22)</f>
        <v>TypeB</v>
      </c>
      <c r="H22">
        <v>0</v>
      </c>
      <c r="I22">
        <f t="shared" si="0"/>
        <v>38.143000000000001</v>
      </c>
      <c r="J22">
        <f t="shared" si="1"/>
        <v>5.6719901719901733</v>
      </c>
    </row>
    <row r="23" spans="1:10" x14ac:dyDescent="0.2">
      <c r="A23">
        <v>57.55</v>
      </c>
      <c r="B23">
        <v>8.74</v>
      </c>
      <c r="C23">
        <v>4.13</v>
      </c>
      <c r="D23">
        <v>7.94</v>
      </c>
      <c r="E23">
        <v>6.74</v>
      </c>
      <c r="F23" t="s">
        <v>10</v>
      </c>
      <c r="G23" t="str">
        <f>IF('[1]Raw Data'!G23="", "Unknown", '[1]Raw Data'!G23)</f>
        <v>TypeA</v>
      </c>
      <c r="H23">
        <v>0</v>
      </c>
      <c r="I23">
        <f t="shared" si="0"/>
        <v>47.246999999999993</v>
      </c>
      <c r="J23">
        <f t="shared" si="1"/>
        <v>4.43716268311488</v>
      </c>
    </row>
    <row r="24" spans="1:10" ht="17" x14ac:dyDescent="0.25">
      <c r="A24">
        <v>46.63</v>
      </c>
      <c r="B24">
        <v>6.1</v>
      </c>
      <c r="C24">
        <v>4.99</v>
      </c>
      <c r="D24" s="4">
        <f>IF(ISBLANK(D2), AVERAGE($D$2:$D$141), D2)</f>
        <v>5.83</v>
      </c>
      <c r="E24">
        <v>34.81</v>
      </c>
      <c r="F24" t="s">
        <v>10</v>
      </c>
      <c r="G24" t="str">
        <f>IF('[1]Raw Data'!G24="", "Unknown", '[1]Raw Data'!G24)</f>
        <v>TypeC</v>
      </c>
      <c r="H24">
        <v>0</v>
      </c>
      <c r="I24">
        <f t="shared" si="0"/>
        <v>38.386000000000003</v>
      </c>
      <c r="J24">
        <f t="shared" si="1"/>
        <v>4.1671134941912422</v>
      </c>
    </row>
    <row r="25" spans="1:10" x14ac:dyDescent="0.2">
      <c r="A25">
        <v>47.97</v>
      </c>
      <c r="B25">
        <v>5.7</v>
      </c>
      <c r="C25">
        <v>2.27</v>
      </c>
      <c r="D25">
        <v>10.55</v>
      </c>
      <c r="E25">
        <v>34.64</v>
      </c>
      <c r="F25" t="s">
        <v>10</v>
      </c>
      <c r="G25" t="str">
        <f>IF('[1]Raw Data'!G25="", "Unknown", '[1]Raw Data'!G25)</f>
        <v>TypeA</v>
      </c>
      <c r="H25">
        <v>1</v>
      </c>
      <c r="I25">
        <f t="shared" si="0"/>
        <v>39.657999999999994</v>
      </c>
      <c r="J25">
        <f t="shared" si="1"/>
        <v>5.9442379182156131</v>
      </c>
    </row>
    <row r="26" spans="1:10" x14ac:dyDescent="0.2">
      <c r="A26">
        <v>70.099999999999994</v>
      </c>
      <c r="B26">
        <v>4.46</v>
      </c>
      <c r="C26">
        <v>0.39</v>
      </c>
      <c r="D26">
        <v>1.62</v>
      </c>
      <c r="E26">
        <v>32.5</v>
      </c>
      <c r="F26" t="s">
        <v>11</v>
      </c>
      <c r="G26" t="str">
        <f>IF('[1]Raw Data'!G26="", "Unknown", '[1]Raw Data'!G26)</f>
        <v>TypeB</v>
      </c>
      <c r="H26">
        <v>1</v>
      </c>
      <c r="I26">
        <f t="shared" si="0"/>
        <v>56.280999999999999</v>
      </c>
      <c r="J26">
        <f t="shared" si="1"/>
        <v>14.161616161616163</v>
      </c>
    </row>
    <row r="27" spans="1:10" x14ac:dyDescent="0.2">
      <c r="A27">
        <v>64.680000000000007</v>
      </c>
      <c r="B27">
        <v>6.59</v>
      </c>
      <c r="C27">
        <v>1.64</v>
      </c>
      <c r="D27">
        <v>6.35</v>
      </c>
      <c r="E27">
        <v>47.52</v>
      </c>
      <c r="F27" t="s">
        <v>10</v>
      </c>
      <c r="G27" t="str">
        <f>IF('[1]Raw Data'!G27="", "Unknown", '[1]Raw Data'!G27)</f>
        <v>TypeB</v>
      </c>
      <c r="H27">
        <v>0</v>
      </c>
      <c r="I27">
        <f t="shared" si="0"/>
        <v>52.543000000000006</v>
      </c>
      <c r="J27">
        <f t="shared" si="1"/>
        <v>7.764705882352942</v>
      </c>
    </row>
    <row r="28" spans="1:10" x14ac:dyDescent="0.2">
      <c r="A28">
        <v>48.07</v>
      </c>
      <c r="B28">
        <v>5.48</v>
      </c>
      <c r="C28">
        <v>2.82</v>
      </c>
      <c r="D28">
        <v>6.44</v>
      </c>
      <c r="E28">
        <v>22.38</v>
      </c>
      <c r="F28" t="s">
        <v>12</v>
      </c>
      <c r="G28" t="str">
        <f>IF('[1]Raw Data'!G28="", "Unknown", '[1]Raw Data'!G28)</f>
        <v>TypeA</v>
      </c>
      <c r="H28">
        <v>0</v>
      </c>
      <c r="I28">
        <f t="shared" si="0"/>
        <v>39.381999999999998</v>
      </c>
      <c r="J28">
        <f t="shared" si="1"/>
        <v>5.7226190476190473</v>
      </c>
    </row>
    <row r="29" spans="1:10" ht="17" x14ac:dyDescent="0.25">
      <c r="A29">
        <v>75.81</v>
      </c>
      <c r="B29" s="4">
        <f>IF(ISBLANK(B2), AVERAGE($B$2:$B$141), B2)</f>
        <v>6.21</v>
      </c>
      <c r="C29">
        <v>2.15</v>
      </c>
      <c r="D29">
        <v>8.06</v>
      </c>
      <c r="E29">
        <v>8.26</v>
      </c>
      <c r="F29" t="s">
        <v>11</v>
      </c>
      <c r="G29" t="str">
        <f>IF('[1]Raw Data'!G29="", "Unknown", '[1]Raw Data'!G29)</f>
        <v>TypeB</v>
      </c>
      <c r="H29">
        <v>1</v>
      </c>
      <c r="I29">
        <f t="shared" si="0"/>
        <v>61.669000000000004</v>
      </c>
      <c r="J29">
        <f t="shared" si="1"/>
        <v>8.960992907801419</v>
      </c>
    </row>
    <row r="30" spans="1:10" x14ac:dyDescent="0.2">
      <c r="A30">
        <v>81.97</v>
      </c>
      <c r="B30">
        <v>4.1399999999999997</v>
      </c>
      <c r="C30">
        <v>2.34</v>
      </c>
      <c r="D30">
        <v>7.32</v>
      </c>
      <c r="E30">
        <v>28.97</v>
      </c>
      <c r="F30" t="s">
        <v>10</v>
      </c>
      <c r="G30" t="str">
        <f>IF('[1]Raw Data'!G30="", "Unknown", '[1]Raw Data'!G30)</f>
        <v>Unknown</v>
      </c>
      <c r="H30">
        <v>0</v>
      </c>
      <c r="I30">
        <f t="shared" si="0"/>
        <v>66.542000000000002</v>
      </c>
      <c r="J30">
        <f t="shared" si="1"/>
        <v>12.457446808510639</v>
      </c>
    </row>
    <row r="31" spans="1:10" x14ac:dyDescent="0.2">
      <c r="A31">
        <v>21.89</v>
      </c>
      <c r="B31">
        <v>7.94</v>
      </c>
      <c r="C31">
        <v>0</v>
      </c>
      <c r="D31">
        <v>7.2</v>
      </c>
      <c r="E31">
        <v>33.369999999999997</v>
      </c>
      <c r="F31" t="s">
        <v>10</v>
      </c>
      <c r="G31" t="str">
        <f>IF('[1]Raw Data'!G31="", "Unknown", '[1]Raw Data'!G31)</f>
        <v>TypeC</v>
      </c>
      <c r="H31">
        <v>1</v>
      </c>
      <c r="I31">
        <f t="shared" si="0"/>
        <v>18.231999999999999</v>
      </c>
      <c r="J31">
        <f t="shared" si="1"/>
        <v>2.722636815920398</v>
      </c>
    </row>
    <row r="32" spans="1:10" x14ac:dyDescent="0.2">
      <c r="A32">
        <v>51.02</v>
      </c>
      <c r="B32">
        <v>7.98</v>
      </c>
      <c r="C32">
        <v>5.16</v>
      </c>
      <c r="D32">
        <v>3.32</v>
      </c>
      <c r="E32">
        <v>23.44</v>
      </c>
      <c r="F32" t="s">
        <v>10</v>
      </c>
      <c r="G32" t="str">
        <f>IF('[1]Raw Data'!G32="", "Unknown", '[1]Raw Data'!G32)</f>
        <v>TypeB</v>
      </c>
      <c r="H32">
        <v>0</v>
      </c>
      <c r="I32">
        <f t="shared" si="0"/>
        <v>41.664000000000001</v>
      </c>
      <c r="J32">
        <f t="shared" si="1"/>
        <v>3.8534743202416921</v>
      </c>
    </row>
    <row r="33" spans="1:10" x14ac:dyDescent="0.2">
      <c r="A33">
        <v>31.47</v>
      </c>
      <c r="B33">
        <v>7.17</v>
      </c>
      <c r="C33">
        <v>5.05</v>
      </c>
      <c r="D33">
        <v>1</v>
      </c>
      <c r="E33">
        <v>21.44</v>
      </c>
      <c r="F33" t="s">
        <v>11</v>
      </c>
      <c r="G33" t="str">
        <f>IF('[1]Raw Data'!G33="", "Unknown", '[1]Raw Data'!G33)</f>
        <v>TypeB</v>
      </c>
      <c r="H33">
        <v>0</v>
      </c>
      <c r="I33">
        <f t="shared" si="0"/>
        <v>25.781000000000002</v>
      </c>
      <c r="J33">
        <f t="shared" si="1"/>
        <v>2.554383116883117</v>
      </c>
    </row>
    <row r="34" spans="1:10" x14ac:dyDescent="0.2">
      <c r="A34">
        <v>49.86</v>
      </c>
      <c r="B34">
        <v>8.4600000000000009</v>
      </c>
      <c r="C34">
        <v>6.15</v>
      </c>
      <c r="D34">
        <v>5.96</v>
      </c>
      <c r="E34">
        <v>18.28</v>
      </c>
      <c r="F34" t="s">
        <v>12</v>
      </c>
      <c r="G34" t="str">
        <f>IF('[1]Raw Data'!G34="", "Unknown", '[1]Raw Data'!G34)</f>
        <v>Unknown</v>
      </c>
      <c r="H34">
        <v>1</v>
      </c>
      <c r="I34">
        <f t="shared" si="0"/>
        <v>41.099000000000004</v>
      </c>
      <c r="J34">
        <f t="shared" si="1"/>
        <v>3.3895309313392246</v>
      </c>
    </row>
    <row r="35" spans="1:10" ht="17" x14ac:dyDescent="0.25">
      <c r="A35">
        <v>61.52</v>
      </c>
      <c r="B35">
        <v>5.4</v>
      </c>
      <c r="C35" s="4">
        <f>IF(ISBLANK(C17), AVERAGE($C$2:$C$141), C17)</f>
        <v>3.93</v>
      </c>
      <c r="D35">
        <v>4.51</v>
      </c>
      <c r="E35">
        <v>17.66</v>
      </c>
      <c r="F35" t="s">
        <v>11</v>
      </c>
      <c r="G35" t="str">
        <f>IF('[1]Raw Data'!G35="", "Unknown", '[1]Raw Data'!G35)</f>
        <v>TypeA</v>
      </c>
      <c r="H35">
        <v>1</v>
      </c>
      <c r="I35">
        <f t="shared" si="0"/>
        <v>50.060000000000009</v>
      </c>
      <c r="J35">
        <f t="shared" si="1"/>
        <v>6.5238600212089084</v>
      </c>
    </row>
    <row r="36" spans="1:10" ht="17" x14ac:dyDescent="0.25">
      <c r="A36">
        <v>62.25</v>
      </c>
      <c r="B36" s="4">
        <f>IF(ISBLANK(B8), AVERAGE($B$2:$B$141), B8)</f>
        <v>4.4400000000000004</v>
      </c>
      <c r="C36">
        <v>4.8499999999999996</v>
      </c>
      <c r="D36">
        <v>8.57</v>
      </c>
      <c r="E36">
        <v>9.77</v>
      </c>
      <c r="F36" t="s">
        <v>12</v>
      </c>
      <c r="G36" t="str">
        <f>IF('[1]Raw Data'!G36="", "Unknown", '[1]Raw Data'!G36)</f>
        <v>TypeC</v>
      </c>
      <c r="H36">
        <v>0</v>
      </c>
      <c r="I36">
        <f t="shared" si="0"/>
        <v>51.142000000000003</v>
      </c>
      <c r="J36">
        <f t="shared" si="1"/>
        <v>6.6293929712460073</v>
      </c>
    </row>
    <row r="37" spans="1:10" x14ac:dyDescent="0.2">
      <c r="A37">
        <v>37.380000000000003</v>
      </c>
      <c r="B37">
        <v>6.94</v>
      </c>
      <c r="C37">
        <v>2.75</v>
      </c>
      <c r="D37">
        <v>2.4900000000000002</v>
      </c>
      <c r="E37">
        <v>25.22</v>
      </c>
      <c r="F37" t="s">
        <v>10</v>
      </c>
      <c r="G37" t="str">
        <f>IF('[1]Raw Data'!G37="", "Unknown", '[1]Raw Data'!G37)</f>
        <v>TypeA</v>
      </c>
      <c r="H37">
        <v>0</v>
      </c>
      <c r="I37">
        <f t="shared" si="0"/>
        <v>30.428000000000001</v>
      </c>
      <c r="J37">
        <f t="shared" si="1"/>
        <v>3.8181818181818179</v>
      </c>
    </row>
    <row r="38" spans="1:10" x14ac:dyDescent="0.2">
      <c r="A38">
        <v>40.659999999999997</v>
      </c>
      <c r="B38">
        <v>7.99</v>
      </c>
      <c r="C38">
        <v>0.42</v>
      </c>
      <c r="D38">
        <v>5.12</v>
      </c>
      <c r="E38">
        <v>26.45</v>
      </c>
      <c r="F38" t="s">
        <v>12</v>
      </c>
      <c r="G38" t="str">
        <f>IF('[1]Raw Data'!G38="", "Unknown", '[1]Raw Data'!G38)</f>
        <v>TypeC</v>
      </c>
      <c r="H38">
        <v>0</v>
      </c>
      <c r="I38">
        <f t="shared" si="0"/>
        <v>33.082000000000001</v>
      </c>
      <c r="J38">
        <f t="shared" si="1"/>
        <v>4.7779083431257341</v>
      </c>
    </row>
    <row r="39" spans="1:10" x14ac:dyDescent="0.2">
      <c r="A39">
        <v>44.04</v>
      </c>
      <c r="B39">
        <v>2.79</v>
      </c>
      <c r="C39">
        <v>1.33</v>
      </c>
      <c r="D39">
        <v>5.39</v>
      </c>
      <c r="E39">
        <v>39.450000000000003</v>
      </c>
      <c r="F39" t="s">
        <v>12</v>
      </c>
      <c r="G39" t="str">
        <f>IF('[1]Raw Data'!G39="", "Unknown", '[1]Raw Data'!G39)</f>
        <v>TypeA</v>
      </c>
      <c r="H39">
        <v>0</v>
      </c>
      <c r="I39">
        <f t="shared" si="0"/>
        <v>35.904000000000003</v>
      </c>
      <c r="J39">
        <f t="shared" si="1"/>
        <v>10.436018957345972</v>
      </c>
    </row>
    <row r="40" spans="1:10" x14ac:dyDescent="0.2">
      <c r="A40">
        <v>77.010000000000005</v>
      </c>
      <c r="B40">
        <v>4.5599999999999996</v>
      </c>
      <c r="C40">
        <v>0.15</v>
      </c>
      <c r="D40">
        <v>9.25</v>
      </c>
      <c r="E40">
        <v>38.43</v>
      </c>
      <c r="F40" t="s">
        <v>12</v>
      </c>
      <c r="G40" t="str">
        <f>IF('[1]Raw Data'!G40="", "Unknown", '[1]Raw Data'!G40)</f>
        <v>TypeA</v>
      </c>
      <c r="H40">
        <v>1</v>
      </c>
      <c r="I40">
        <f t="shared" si="0"/>
        <v>62.548000000000002</v>
      </c>
      <c r="J40">
        <f t="shared" si="1"/>
        <v>16.010395010395012</v>
      </c>
    </row>
    <row r="41" spans="1:10" x14ac:dyDescent="0.2">
      <c r="A41">
        <v>77.48</v>
      </c>
      <c r="B41">
        <v>6.11</v>
      </c>
      <c r="C41">
        <v>2.58</v>
      </c>
      <c r="D41">
        <v>10.78</v>
      </c>
      <c r="E41">
        <v>37.93</v>
      </c>
      <c r="F41" t="s">
        <v>11</v>
      </c>
      <c r="G41" t="str">
        <f>IF('[1]Raw Data'!G41="", "Unknown", '[1]Raw Data'!G41)</f>
        <v>TypeC</v>
      </c>
      <c r="H41">
        <v>0</v>
      </c>
      <c r="I41">
        <f t="shared" si="0"/>
        <v>63.320000000000014</v>
      </c>
      <c r="J41">
        <f t="shared" si="1"/>
        <v>8.8145620022753128</v>
      </c>
    </row>
    <row r="42" spans="1:10" x14ac:dyDescent="0.2">
      <c r="A42">
        <v>32.520000000000003</v>
      </c>
      <c r="B42">
        <v>3.69</v>
      </c>
      <c r="C42">
        <v>2.64</v>
      </c>
      <c r="D42">
        <v>9.7200000000000006</v>
      </c>
      <c r="E42">
        <v>39.75</v>
      </c>
      <c r="F42" t="s">
        <v>10</v>
      </c>
      <c r="G42" t="str">
        <f>IF('[1]Raw Data'!G42="", "Unknown", '[1]Raw Data'!G42)</f>
        <v>TypeC</v>
      </c>
      <c r="H42">
        <v>0</v>
      </c>
      <c r="I42">
        <f t="shared" si="0"/>
        <v>27.252000000000006</v>
      </c>
      <c r="J42">
        <f t="shared" si="1"/>
        <v>5.0575427682737173</v>
      </c>
    </row>
    <row r="43" spans="1:10" ht="17" x14ac:dyDescent="0.25">
      <c r="A43">
        <v>76.86</v>
      </c>
      <c r="B43">
        <v>6.53</v>
      </c>
      <c r="C43" s="4">
        <f>IF(ISBLANK(C24), AVERAGE($C$2:$C$141), C24)</f>
        <v>4.99</v>
      </c>
      <c r="D43" s="4">
        <f>IF(ISBLANK(D19), AVERAGE($D$2:$D$141), D19)</f>
        <v>4.5</v>
      </c>
      <c r="E43">
        <v>20.94</v>
      </c>
      <c r="F43" t="s">
        <v>12</v>
      </c>
      <c r="G43" t="str">
        <f>IF('[1]Raw Data'!G43="", "Unknown", '[1]Raw Data'!G43)</f>
        <v>TypeB</v>
      </c>
      <c r="H43">
        <v>1</v>
      </c>
      <c r="I43">
        <f t="shared" si="0"/>
        <v>62.437000000000005</v>
      </c>
      <c r="J43">
        <f t="shared" si="1"/>
        <v>6.6144578313253017</v>
      </c>
    </row>
    <row r="44" spans="1:10" x14ac:dyDescent="0.2">
      <c r="A44">
        <v>74.45</v>
      </c>
      <c r="B44">
        <v>5.78</v>
      </c>
      <c r="C44">
        <v>0</v>
      </c>
      <c r="D44">
        <v>6.49</v>
      </c>
      <c r="E44">
        <v>42.08</v>
      </c>
      <c r="F44" t="s">
        <v>12</v>
      </c>
      <c r="G44" t="str">
        <f>IF('[1]Raw Data'!G44="", "Unknown", '[1]Raw Data'!G44)</f>
        <v>TypeB</v>
      </c>
      <c r="H44">
        <v>0</v>
      </c>
      <c r="I44">
        <f t="shared" si="0"/>
        <v>60.209000000000003</v>
      </c>
      <c r="J44">
        <f t="shared" si="1"/>
        <v>12.661564625850341</v>
      </c>
    </row>
    <row r="45" spans="1:10" x14ac:dyDescent="0.2">
      <c r="A45">
        <v>83.72</v>
      </c>
      <c r="B45">
        <v>7.48</v>
      </c>
      <c r="C45">
        <v>3.92</v>
      </c>
      <c r="D45">
        <v>4.96</v>
      </c>
      <c r="E45">
        <v>34.61</v>
      </c>
      <c r="F45" t="s">
        <v>12</v>
      </c>
      <c r="G45" t="str">
        <f>IF('[1]Raw Data'!G45="", "Unknown", '[1]Raw Data'!G45)</f>
        <v>TypeA</v>
      </c>
      <c r="H45">
        <v>0</v>
      </c>
      <c r="I45">
        <f t="shared" si="0"/>
        <v>67.86399999999999</v>
      </c>
      <c r="J45">
        <f t="shared" si="1"/>
        <v>7.28</v>
      </c>
    </row>
    <row r="46" spans="1:10" ht="17" x14ac:dyDescent="0.25">
      <c r="A46">
        <v>58.9</v>
      </c>
      <c r="B46" s="4">
        <f>IF(ISBLANK(B17), AVERAGE($B$2:$B$141), B17)</f>
        <v>6</v>
      </c>
      <c r="C46">
        <v>4.78</v>
      </c>
      <c r="D46">
        <v>8.2899999999999991</v>
      </c>
      <c r="E46">
        <v>53.16</v>
      </c>
      <c r="F46" t="s">
        <v>12</v>
      </c>
      <c r="G46" t="str">
        <f>IF('[1]Raw Data'!G46="", "Unknown", '[1]Raw Data'!G46)</f>
        <v>TypeB</v>
      </c>
      <c r="H46">
        <v>0</v>
      </c>
      <c r="I46">
        <f t="shared" si="0"/>
        <v>48.427000000000007</v>
      </c>
      <c r="J46">
        <f t="shared" si="1"/>
        <v>5.4136029411764701</v>
      </c>
    </row>
    <row r="47" spans="1:10" x14ac:dyDescent="0.2">
      <c r="A47">
        <v>73.680000000000007</v>
      </c>
      <c r="B47">
        <v>8.49</v>
      </c>
      <c r="C47">
        <v>0</v>
      </c>
      <c r="D47">
        <v>10.64</v>
      </c>
      <c r="E47">
        <v>3</v>
      </c>
      <c r="F47" t="s">
        <v>12</v>
      </c>
      <c r="G47" t="str">
        <f>IF('[1]Raw Data'!G47="", "Unknown", '[1]Raw Data'!G47)</f>
        <v>Unknown</v>
      </c>
      <c r="H47">
        <v>0</v>
      </c>
      <c r="I47">
        <f t="shared" si="0"/>
        <v>60.00800000000001</v>
      </c>
      <c r="J47">
        <f t="shared" si="1"/>
        <v>8.5774155995343424</v>
      </c>
    </row>
    <row r="48" spans="1:10" x14ac:dyDescent="0.2">
      <c r="A48">
        <v>75.81</v>
      </c>
      <c r="B48">
        <v>6.02</v>
      </c>
      <c r="C48">
        <v>3.81</v>
      </c>
      <c r="D48">
        <v>3.35</v>
      </c>
      <c r="E48">
        <v>21.58</v>
      </c>
      <c r="F48" t="s">
        <v>12</v>
      </c>
      <c r="G48" t="str">
        <f>IF('[1]Raw Data'!G48="", "Unknown", '[1]Raw Data'!G48)</f>
        <v>TypeA</v>
      </c>
      <c r="H48">
        <v>0</v>
      </c>
      <c r="I48">
        <f t="shared" si="0"/>
        <v>61.364000000000004</v>
      </c>
      <c r="J48">
        <f t="shared" si="1"/>
        <v>7.6344410876132933</v>
      </c>
    </row>
    <row r="49" spans="1:10" x14ac:dyDescent="0.2">
      <c r="A49">
        <v>44.48</v>
      </c>
      <c r="B49">
        <v>6.09</v>
      </c>
      <c r="C49">
        <v>2.0299999999999998</v>
      </c>
      <c r="D49">
        <v>7.28</v>
      </c>
      <c r="E49">
        <v>51.02</v>
      </c>
      <c r="F49" t="s">
        <v>11</v>
      </c>
      <c r="G49" t="str">
        <f>IF('[1]Raw Data'!G49="", "Unknown", '[1]Raw Data'!G49)</f>
        <v>TypeB</v>
      </c>
      <c r="H49">
        <v>0</v>
      </c>
      <c r="I49">
        <f t="shared" si="0"/>
        <v>36.515000000000001</v>
      </c>
      <c r="J49">
        <f t="shared" si="1"/>
        <v>5.4111922141119226</v>
      </c>
    </row>
    <row r="50" spans="1:10" x14ac:dyDescent="0.2">
      <c r="A50">
        <v>44.05</v>
      </c>
      <c r="B50">
        <v>2.99</v>
      </c>
      <c r="C50">
        <v>0.59</v>
      </c>
      <c r="D50">
        <v>10.53</v>
      </c>
      <c r="E50">
        <v>37.14</v>
      </c>
      <c r="F50" t="s">
        <v>10</v>
      </c>
      <c r="G50" t="str">
        <f>IF('[1]Raw Data'!G50="", "Unknown", '[1]Raw Data'!G50)</f>
        <v>TypeB</v>
      </c>
      <c r="H50">
        <v>1</v>
      </c>
      <c r="I50">
        <f t="shared" si="0"/>
        <v>36.351999999999997</v>
      </c>
      <c r="J50">
        <f t="shared" si="1"/>
        <v>11.970108695652172</v>
      </c>
    </row>
    <row r="51" spans="1:10" x14ac:dyDescent="0.2">
      <c r="A51">
        <v>46.21</v>
      </c>
      <c r="B51">
        <v>8.01</v>
      </c>
      <c r="C51">
        <v>4.6500000000000004</v>
      </c>
      <c r="D51">
        <v>7.34</v>
      </c>
      <c r="E51">
        <v>42.87</v>
      </c>
      <c r="F51" t="s">
        <v>11</v>
      </c>
      <c r="G51" t="str">
        <f>IF('[1]Raw Data'!G51="", "Unknown", '[1]Raw Data'!G51)</f>
        <v>TypeA</v>
      </c>
      <c r="H51">
        <v>0</v>
      </c>
      <c r="I51">
        <f t="shared" si="0"/>
        <v>38.167000000000009</v>
      </c>
      <c r="J51">
        <f t="shared" si="1"/>
        <v>3.6214733542319753</v>
      </c>
    </row>
    <row r="52" spans="1:10" x14ac:dyDescent="0.2">
      <c r="A52">
        <v>29.11</v>
      </c>
      <c r="B52">
        <v>6.88</v>
      </c>
      <c r="C52">
        <v>3.6</v>
      </c>
      <c r="D52">
        <v>6.52</v>
      </c>
      <c r="E52">
        <v>19.77</v>
      </c>
      <c r="F52" t="s">
        <v>12</v>
      </c>
      <c r="G52" t="str">
        <f>IF('[1]Raw Data'!G52="", "Unknown", '[1]Raw Data'!G52)</f>
        <v>TypeB</v>
      </c>
      <c r="H52">
        <v>0</v>
      </c>
      <c r="I52">
        <f t="shared" si="0"/>
        <v>24.3</v>
      </c>
      <c r="J52">
        <f t="shared" si="1"/>
        <v>2.7514177693761814</v>
      </c>
    </row>
    <row r="53" spans="1:10" x14ac:dyDescent="0.2">
      <c r="A53">
        <v>37.85</v>
      </c>
      <c r="B53">
        <v>4.84</v>
      </c>
      <c r="C53">
        <v>2.2999999999999998</v>
      </c>
      <c r="D53">
        <v>9.51</v>
      </c>
      <c r="E53">
        <f>IF(ISBLANK(E51), AVERAGE($E$2:$E$141), E51)</f>
        <v>42.87</v>
      </c>
      <c r="F53" t="s">
        <v>12</v>
      </c>
      <c r="G53" t="str">
        <f>IF('[1]Raw Data'!G53="", "Unknown", '[1]Raw Data'!G53)</f>
        <v>TypeA</v>
      </c>
      <c r="H53">
        <v>1</v>
      </c>
      <c r="I53">
        <f t="shared" si="0"/>
        <v>31.461000000000002</v>
      </c>
      <c r="J53">
        <f t="shared" si="1"/>
        <v>5.2279005524861883</v>
      </c>
    </row>
    <row r="54" spans="1:10" x14ac:dyDescent="0.2">
      <c r="A54">
        <v>73.83</v>
      </c>
      <c r="B54">
        <v>5.52</v>
      </c>
      <c r="C54">
        <v>3.67</v>
      </c>
      <c r="D54">
        <v>1.79</v>
      </c>
      <c r="E54">
        <v>14.28</v>
      </c>
      <c r="F54" t="s">
        <v>12</v>
      </c>
      <c r="G54" t="str">
        <f>IF('[1]Raw Data'!G54="", "Unknown", '[1]Raw Data'!G54)</f>
        <v>TypeB</v>
      </c>
      <c r="H54">
        <v>1</v>
      </c>
      <c r="I54">
        <f t="shared" si="0"/>
        <v>59.61</v>
      </c>
      <c r="J54">
        <f t="shared" si="1"/>
        <v>7.9472551130247586</v>
      </c>
    </row>
    <row r="55" spans="1:10" x14ac:dyDescent="0.2">
      <c r="A55">
        <v>73.489999999999995</v>
      </c>
      <c r="B55">
        <v>11.3</v>
      </c>
      <c r="C55">
        <v>2.88</v>
      </c>
      <c r="D55">
        <v>6.96</v>
      </c>
      <c r="E55">
        <v>10.78</v>
      </c>
      <c r="F55" t="s">
        <v>10</v>
      </c>
      <c r="G55" t="str">
        <f>IF('[1]Raw Data'!G55="", "Unknown", '[1]Raw Data'!G55)</f>
        <v>TypeA</v>
      </c>
      <c r="H55">
        <v>0</v>
      </c>
      <c r="I55">
        <f t="shared" si="0"/>
        <v>59.775999999999996</v>
      </c>
      <c r="J55">
        <f t="shared" si="1"/>
        <v>5.1463585434173664</v>
      </c>
    </row>
    <row r="56" spans="1:10" x14ac:dyDescent="0.2">
      <c r="A56">
        <v>17.78</v>
      </c>
      <c r="B56">
        <v>7.47</v>
      </c>
      <c r="C56">
        <v>4.1900000000000004</v>
      </c>
      <c r="D56">
        <v>7.21</v>
      </c>
      <c r="E56">
        <v>55.04</v>
      </c>
      <c r="F56" t="s">
        <v>11</v>
      </c>
      <c r="G56" t="str">
        <f>IF('[1]Raw Data'!G56="", "Unknown", '[1]Raw Data'!G56)</f>
        <v>TypeA</v>
      </c>
      <c r="H56">
        <v>0</v>
      </c>
      <c r="I56">
        <f t="shared" si="0"/>
        <v>15.364000000000003</v>
      </c>
      <c r="J56">
        <f t="shared" si="1"/>
        <v>1.5119047619047621</v>
      </c>
    </row>
    <row r="57" spans="1:10" x14ac:dyDescent="0.2">
      <c r="A57">
        <v>36.81</v>
      </c>
      <c r="B57">
        <v>8.24</v>
      </c>
      <c r="C57">
        <v>2.4700000000000002</v>
      </c>
      <c r="D57">
        <v>6.07</v>
      </c>
      <c r="E57">
        <v>35.51</v>
      </c>
      <c r="F57" t="s">
        <v>11</v>
      </c>
      <c r="G57" t="str">
        <f>IF('[1]Raw Data'!G57="", "Unknown", '[1]Raw Data'!G57)</f>
        <v>TypeA</v>
      </c>
      <c r="H57">
        <v>0</v>
      </c>
      <c r="I57">
        <f t="shared" si="0"/>
        <v>30.302000000000003</v>
      </c>
      <c r="J57">
        <f t="shared" si="1"/>
        <v>3.4051803885291396</v>
      </c>
    </row>
    <row r="58" spans="1:10" x14ac:dyDescent="0.2">
      <c r="A58">
        <v>46.56</v>
      </c>
      <c r="B58">
        <v>7.06</v>
      </c>
      <c r="C58">
        <v>3.33</v>
      </c>
      <c r="D58">
        <v>6.55</v>
      </c>
      <c r="E58">
        <v>16.510000000000002</v>
      </c>
      <c r="F58" t="s">
        <v>10</v>
      </c>
      <c r="G58" t="str">
        <f>IF('[1]Raw Data'!G58="", "Unknown", '[1]Raw Data'!G58)</f>
        <v>TypeC</v>
      </c>
      <c r="H58">
        <v>0</v>
      </c>
      <c r="I58">
        <f t="shared" si="0"/>
        <v>38.236000000000004</v>
      </c>
      <c r="J58">
        <f t="shared" si="1"/>
        <v>4.4385128693994282</v>
      </c>
    </row>
    <row r="59" spans="1:10" x14ac:dyDescent="0.2">
      <c r="A59">
        <v>57.92</v>
      </c>
      <c r="B59">
        <v>5.85</v>
      </c>
      <c r="C59">
        <v>6.69</v>
      </c>
      <c r="D59">
        <v>9.19</v>
      </c>
      <c r="E59">
        <f>IF(ISBLANK(E57), AVERAGE($E$2:$E$141), E57)</f>
        <v>35.51</v>
      </c>
      <c r="F59" t="s">
        <v>11</v>
      </c>
      <c r="G59" t="str">
        <f>IF('[1]Raw Data'!G59="", "Unknown", '[1]Raw Data'!G59)</f>
        <v>TypeA</v>
      </c>
      <c r="H59">
        <v>0</v>
      </c>
      <c r="I59">
        <f t="shared" si="0"/>
        <v>47.923999999999999</v>
      </c>
      <c r="J59">
        <f t="shared" si="1"/>
        <v>4.5822784810126587</v>
      </c>
    </row>
    <row r="60" spans="1:10" x14ac:dyDescent="0.2">
      <c r="A60">
        <v>67.13</v>
      </c>
      <c r="B60">
        <v>9.3699999999999992</v>
      </c>
      <c r="C60">
        <v>3.81</v>
      </c>
      <c r="D60">
        <v>4.8099999999999996</v>
      </c>
      <c r="E60">
        <v>67.099999999999994</v>
      </c>
      <c r="F60" t="s">
        <v>12</v>
      </c>
      <c r="G60" t="str">
        <f>IF('[1]Raw Data'!G60="", "Unknown", '[1]Raw Data'!G60)</f>
        <v>TypeA</v>
      </c>
      <c r="H60">
        <v>0</v>
      </c>
      <c r="I60">
        <f t="shared" si="0"/>
        <v>54.566000000000003</v>
      </c>
      <c r="J60">
        <f t="shared" si="1"/>
        <v>5.0549698795180724</v>
      </c>
    </row>
    <row r="61" spans="1:10" ht="17" x14ac:dyDescent="0.25">
      <c r="A61">
        <v>56.07</v>
      </c>
      <c r="B61" s="4">
        <f>IF(ISBLANK(B31), AVERAGE($B$2:$B$141), B31)</f>
        <v>7.94</v>
      </c>
      <c r="C61">
        <v>0</v>
      </c>
      <c r="D61">
        <v>3.89</v>
      </c>
      <c r="E61">
        <v>20.73</v>
      </c>
      <c r="F61" t="s">
        <v>12</v>
      </c>
      <c r="G61" t="str">
        <f>IF('[1]Raw Data'!G61="", "Unknown", '[1]Raw Data'!G61)</f>
        <v>TypeC</v>
      </c>
      <c r="H61">
        <v>0</v>
      </c>
      <c r="I61">
        <f t="shared" si="0"/>
        <v>45.245000000000005</v>
      </c>
      <c r="J61">
        <f t="shared" si="1"/>
        <v>6.9738805970149249</v>
      </c>
    </row>
    <row r="62" spans="1:10" x14ac:dyDescent="0.2">
      <c r="A62">
        <v>32.76</v>
      </c>
      <c r="B62">
        <v>3.86</v>
      </c>
      <c r="C62">
        <v>2.65</v>
      </c>
      <c r="D62">
        <v>8.74</v>
      </c>
      <c r="E62">
        <v>39.29</v>
      </c>
      <c r="F62" t="s">
        <v>10</v>
      </c>
      <c r="G62" t="str">
        <f>IF('[1]Raw Data'!G62="", "Unknown", '[1]Raw Data'!G62)</f>
        <v>TypeB</v>
      </c>
      <c r="H62">
        <v>0</v>
      </c>
      <c r="I62">
        <f t="shared" si="0"/>
        <v>27.346999999999998</v>
      </c>
      <c r="J62">
        <f t="shared" si="1"/>
        <v>4.9561270801815436</v>
      </c>
    </row>
    <row r="63" spans="1:10" x14ac:dyDescent="0.2">
      <c r="A63">
        <v>49.1</v>
      </c>
      <c r="B63">
        <v>4.8499999999999996</v>
      </c>
      <c r="C63">
        <v>1.1299999999999999</v>
      </c>
      <c r="D63">
        <v>3.64</v>
      </c>
      <c r="E63">
        <v>15.46</v>
      </c>
      <c r="F63" t="s">
        <v>11</v>
      </c>
      <c r="G63" t="str">
        <f>IF('[1]Raw Data'!G63="", "Unknown", '[1]Raw Data'!G63)</f>
        <v>TypeA</v>
      </c>
      <c r="H63">
        <v>0</v>
      </c>
      <c r="I63">
        <f t="shared" si="0"/>
        <v>39.756999999999998</v>
      </c>
      <c r="J63">
        <f t="shared" si="1"/>
        <v>8.0756578947368443</v>
      </c>
    </row>
    <row r="64" spans="1:10" x14ac:dyDescent="0.2">
      <c r="A64">
        <v>78.86</v>
      </c>
      <c r="B64">
        <v>6.93</v>
      </c>
      <c r="C64">
        <v>2.65</v>
      </c>
      <c r="D64">
        <v>7.57</v>
      </c>
      <c r="E64">
        <v>41.96</v>
      </c>
      <c r="F64" t="s">
        <v>11</v>
      </c>
      <c r="G64" t="str">
        <f>IF('[1]Raw Data'!G64="", "Unknown", '[1]Raw Data'!G64)</f>
        <v>TypeC</v>
      </c>
      <c r="H64">
        <v>1</v>
      </c>
      <c r="I64">
        <f t="shared" si="0"/>
        <v>64.11</v>
      </c>
      <c r="J64">
        <f t="shared" si="1"/>
        <v>8.1466942148760335</v>
      </c>
    </row>
    <row r="65" spans="1:10" x14ac:dyDescent="0.2">
      <c r="A65">
        <v>53.15</v>
      </c>
      <c r="B65">
        <v>7.92</v>
      </c>
      <c r="C65">
        <v>2.5499999999999998</v>
      </c>
      <c r="D65">
        <v>4.57</v>
      </c>
      <c r="E65">
        <v>37.270000000000003</v>
      </c>
      <c r="F65" t="s">
        <v>11</v>
      </c>
      <c r="G65" t="str">
        <f>IF('[1]Raw Data'!G65="", "Unknown", '[1]Raw Data'!G65)</f>
        <v>TypeC</v>
      </c>
      <c r="H65">
        <v>1</v>
      </c>
      <c r="I65">
        <f t="shared" si="0"/>
        <v>43.232000000000006</v>
      </c>
      <c r="J65">
        <f t="shared" si="1"/>
        <v>5.0283822138126784</v>
      </c>
    </row>
    <row r="66" spans="1:10" x14ac:dyDescent="0.2">
      <c r="A66">
        <v>25.05</v>
      </c>
      <c r="B66">
        <v>1</v>
      </c>
      <c r="C66">
        <v>8.2200000000000006</v>
      </c>
      <c r="D66">
        <v>8.6300000000000008</v>
      </c>
      <c r="E66">
        <v>11.53</v>
      </c>
      <c r="F66" t="s">
        <v>12</v>
      </c>
      <c r="G66" t="str">
        <f>IF('[1]Raw Data'!G66="", "Unknown", '[1]Raw Data'!G66)</f>
        <v>TypeA</v>
      </c>
      <c r="H66">
        <v>0</v>
      </c>
      <c r="I66">
        <f t="shared" ref="I66:I129" si="2" xml:space="preserve"> (A66 * 0.8) + (C66 * 0.1) + (D66 * 0.1)</f>
        <v>21.725000000000001</v>
      </c>
      <c r="J66">
        <f t="shared" ref="J66:J129" si="3" xml:space="preserve"> A66/ (B66 + C66 + 0.1)</f>
        <v>2.6877682403433476</v>
      </c>
    </row>
    <row r="67" spans="1:10" x14ac:dyDescent="0.2">
      <c r="A67">
        <v>66.69</v>
      </c>
      <c r="B67">
        <v>5.46</v>
      </c>
      <c r="C67">
        <v>0.84</v>
      </c>
      <c r="D67">
        <v>10.119999999999999</v>
      </c>
      <c r="E67">
        <v>27.03</v>
      </c>
      <c r="F67" t="s">
        <v>11</v>
      </c>
      <c r="G67" t="str">
        <f>IF('[1]Raw Data'!G67="", "Unknown", '[1]Raw Data'!G67)</f>
        <v>TypeC</v>
      </c>
      <c r="H67">
        <v>0</v>
      </c>
      <c r="I67">
        <f t="shared" si="2"/>
        <v>54.448000000000008</v>
      </c>
      <c r="J67">
        <f t="shared" si="3"/>
        <v>10.4203125</v>
      </c>
    </row>
    <row r="68" spans="1:10" x14ac:dyDescent="0.2">
      <c r="A68">
        <v>59.58</v>
      </c>
      <c r="B68">
        <v>7.27</v>
      </c>
      <c r="C68">
        <v>4.1100000000000003</v>
      </c>
      <c r="D68">
        <v>8.6199999999999992</v>
      </c>
      <c r="E68">
        <v>46.87</v>
      </c>
      <c r="F68" t="s">
        <v>12</v>
      </c>
      <c r="G68" t="str">
        <f>IF('[1]Raw Data'!G68="", "Unknown", '[1]Raw Data'!G68)</f>
        <v>TypeA</v>
      </c>
      <c r="H68">
        <v>0</v>
      </c>
      <c r="I68">
        <f t="shared" si="2"/>
        <v>48.937000000000005</v>
      </c>
      <c r="J68">
        <f t="shared" si="3"/>
        <v>5.1898954703832754</v>
      </c>
    </row>
    <row r="69" spans="1:10" x14ac:dyDescent="0.2">
      <c r="A69">
        <v>79.849999999999994</v>
      </c>
      <c r="B69">
        <v>9.56</v>
      </c>
      <c r="C69">
        <v>2.99</v>
      </c>
      <c r="D69">
        <v>5.05</v>
      </c>
      <c r="E69">
        <v>34.47</v>
      </c>
      <c r="F69" t="s">
        <v>10</v>
      </c>
      <c r="G69" t="str">
        <f>IF('[1]Raw Data'!G69="", "Unknown", '[1]Raw Data'!G69)</f>
        <v>TypeC</v>
      </c>
      <c r="H69">
        <v>0</v>
      </c>
      <c r="I69">
        <f t="shared" si="2"/>
        <v>64.683999999999997</v>
      </c>
      <c r="J69">
        <f t="shared" si="3"/>
        <v>6.312252964426877</v>
      </c>
    </row>
    <row r="70" spans="1:10" x14ac:dyDescent="0.2">
      <c r="A70">
        <v>56.07</v>
      </c>
      <c r="B70">
        <v>8.68</v>
      </c>
      <c r="C70">
        <v>4.55</v>
      </c>
      <c r="D70">
        <v>7.88</v>
      </c>
      <c r="E70">
        <v>42.33</v>
      </c>
      <c r="F70" t="s">
        <v>10</v>
      </c>
      <c r="G70" t="str">
        <f>IF('[1]Raw Data'!G70="", "Unknown", '[1]Raw Data'!G70)</f>
        <v>TypeB</v>
      </c>
      <c r="H70">
        <v>1</v>
      </c>
      <c r="I70">
        <f t="shared" si="2"/>
        <v>46.098999999999997</v>
      </c>
      <c r="J70">
        <f t="shared" si="3"/>
        <v>4.2063015753938489</v>
      </c>
    </row>
    <row r="71" spans="1:10" x14ac:dyDescent="0.2">
      <c r="A71">
        <v>62.85</v>
      </c>
      <c r="B71">
        <v>6.66</v>
      </c>
      <c r="C71">
        <v>0.64</v>
      </c>
      <c r="D71">
        <v>6.68</v>
      </c>
      <c r="E71">
        <v>27.39</v>
      </c>
      <c r="F71" t="s">
        <v>12</v>
      </c>
      <c r="G71" t="str">
        <f>IF('[1]Raw Data'!G71="", "Unknown", '[1]Raw Data'!G71)</f>
        <v>TypeB</v>
      </c>
      <c r="H71">
        <v>1</v>
      </c>
      <c r="I71">
        <f t="shared" si="2"/>
        <v>51.012</v>
      </c>
      <c r="J71">
        <f t="shared" si="3"/>
        <v>8.4932432432432439</v>
      </c>
    </row>
    <row r="72" spans="1:10" x14ac:dyDescent="0.2">
      <c r="A72">
        <v>48.96</v>
      </c>
      <c r="B72">
        <v>3.81</v>
      </c>
      <c r="C72">
        <v>0</v>
      </c>
      <c r="D72">
        <v>5.12</v>
      </c>
      <c r="E72">
        <v>53.99</v>
      </c>
      <c r="F72" t="s">
        <v>10</v>
      </c>
      <c r="G72" t="str">
        <f>IF('[1]Raw Data'!G72="", "Unknown", '[1]Raw Data'!G72)</f>
        <v>TypeA</v>
      </c>
      <c r="H72">
        <v>0</v>
      </c>
      <c r="I72">
        <f t="shared" si="2"/>
        <v>39.680000000000007</v>
      </c>
      <c r="J72">
        <f t="shared" si="3"/>
        <v>12.521739130434783</v>
      </c>
    </row>
    <row r="73" spans="1:10" x14ac:dyDescent="0.2">
      <c r="A73">
        <v>33.72</v>
      </c>
      <c r="B73">
        <v>7.73</v>
      </c>
      <c r="C73">
        <v>2.74</v>
      </c>
      <c r="D73">
        <v>8.3800000000000008</v>
      </c>
      <c r="E73">
        <v>28.41</v>
      </c>
      <c r="F73" t="s">
        <v>12</v>
      </c>
      <c r="G73" t="str">
        <f>IF('[1]Raw Data'!G73="", "Unknown", '[1]Raw Data'!G73)</f>
        <v>TypeB</v>
      </c>
      <c r="H73">
        <v>1</v>
      </c>
      <c r="I73">
        <f t="shared" si="2"/>
        <v>28.088000000000001</v>
      </c>
      <c r="J73">
        <f t="shared" si="3"/>
        <v>3.1901608325449384</v>
      </c>
    </row>
    <row r="74" spans="1:10" x14ac:dyDescent="0.2">
      <c r="A74">
        <v>41.69</v>
      </c>
      <c r="B74">
        <v>5.28</v>
      </c>
      <c r="C74">
        <v>3.06</v>
      </c>
      <c r="D74">
        <v>4.71</v>
      </c>
      <c r="E74">
        <v>37.729999999999997</v>
      </c>
      <c r="F74" t="s">
        <v>12</v>
      </c>
      <c r="G74" t="str">
        <f>IF('[1]Raw Data'!G74="", "Unknown", '[1]Raw Data'!G74)</f>
        <v>TypeA</v>
      </c>
      <c r="H74">
        <v>0</v>
      </c>
      <c r="I74">
        <f t="shared" si="2"/>
        <v>34.128999999999991</v>
      </c>
      <c r="J74">
        <f t="shared" si="3"/>
        <v>4.93957345971564</v>
      </c>
    </row>
    <row r="75" spans="1:10" ht="17" x14ac:dyDescent="0.25">
      <c r="A75">
        <v>51.88</v>
      </c>
      <c r="B75">
        <v>6</v>
      </c>
      <c r="C75">
        <v>4.09</v>
      </c>
      <c r="D75" s="4">
        <f>IF(ISBLANK(D50), AVERAGE($D$2:$D$141), D50)</f>
        <v>10.53</v>
      </c>
      <c r="E75">
        <v>41.46</v>
      </c>
      <c r="F75" t="s">
        <v>11</v>
      </c>
      <c r="G75" t="str">
        <f>IF('[1]Raw Data'!G75="", "Unknown", '[1]Raw Data'!G75)</f>
        <v>TypeB</v>
      </c>
      <c r="H75">
        <v>0</v>
      </c>
      <c r="I75">
        <f t="shared" si="2"/>
        <v>42.966000000000001</v>
      </c>
      <c r="J75">
        <f t="shared" si="3"/>
        <v>5.0912659470068702</v>
      </c>
    </row>
    <row r="76" spans="1:10" x14ac:dyDescent="0.2">
      <c r="A76">
        <v>30.7</v>
      </c>
      <c r="B76">
        <v>6.58</v>
      </c>
      <c r="C76">
        <v>2.4900000000000002</v>
      </c>
      <c r="D76">
        <v>9.56</v>
      </c>
      <c r="E76">
        <v>36.090000000000003</v>
      </c>
      <c r="F76" t="s">
        <v>11</v>
      </c>
      <c r="G76" t="str">
        <f>IF('[1]Raw Data'!G76="", "Unknown", '[1]Raw Data'!G76)</f>
        <v>TypeC</v>
      </c>
      <c r="H76">
        <v>0</v>
      </c>
      <c r="I76">
        <f t="shared" si="2"/>
        <v>25.765000000000001</v>
      </c>
      <c r="J76">
        <f t="shared" si="3"/>
        <v>3.3478735005452562</v>
      </c>
    </row>
    <row r="77" spans="1:10" ht="17" x14ac:dyDescent="0.25">
      <c r="A77">
        <v>56.38</v>
      </c>
      <c r="B77">
        <v>6.1</v>
      </c>
      <c r="C77" s="4">
        <f>IF(ISBLANK(C58), AVERAGE($C$2:$C$141), C58)</f>
        <v>3.33</v>
      </c>
      <c r="D77">
        <v>9.27</v>
      </c>
      <c r="E77">
        <v>7.93</v>
      </c>
      <c r="F77" t="s">
        <v>11</v>
      </c>
      <c r="G77" t="str">
        <f>IF('[1]Raw Data'!G77="", "Unknown", '[1]Raw Data'!G77)</f>
        <v>TypeA</v>
      </c>
      <c r="H77">
        <v>0</v>
      </c>
      <c r="I77">
        <f t="shared" si="2"/>
        <v>46.364000000000004</v>
      </c>
      <c r="J77">
        <f t="shared" si="3"/>
        <v>5.916054564533054</v>
      </c>
    </row>
    <row r="78" spans="1:10" x14ac:dyDescent="0.2">
      <c r="A78">
        <v>69.790000000000006</v>
      </c>
      <c r="B78">
        <v>2.37</v>
      </c>
      <c r="C78">
        <v>0.01</v>
      </c>
      <c r="D78">
        <v>5.84</v>
      </c>
      <c r="E78">
        <f>IF(ISBLANK(E76), AVERAGE($E$2:$E$141), E76)</f>
        <v>36.090000000000003</v>
      </c>
      <c r="F78" t="s">
        <v>10</v>
      </c>
      <c r="G78" t="str">
        <f>IF('[1]Raw Data'!G78="", "Unknown", '[1]Raw Data'!G78)</f>
        <v>TypeC</v>
      </c>
      <c r="H78">
        <v>0</v>
      </c>
      <c r="I78">
        <f t="shared" si="2"/>
        <v>56.417000000000009</v>
      </c>
      <c r="J78">
        <f t="shared" si="3"/>
        <v>28.141129032258068</v>
      </c>
    </row>
    <row r="79" spans="1:10" ht="17" x14ac:dyDescent="0.25">
      <c r="A79" s="4">
        <f>IF(ISBLANK(A71), AVERAGE($A$2:$A$141), A71)</f>
        <v>62.85</v>
      </c>
      <c r="B79">
        <v>2.76</v>
      </c>
      <c r="C79">
        <v>2.86</v>
      </c>
      <c r="D79">
        <v>7.94</v>
      </c>
      <c r="E79">
        <v>67.489999999999995</v>
      </c>
      <c r="F79" t="s">
        <v>12</v>
      </c>
      <c r="G79" t="str">
        <f>IF('[1]Raw Data'!G79="", "Unknown", '[1]Raw Data'!G79)</f>
        <v>TypeB</v>
      </c>
      <c r="H79">
        <v>0</v>
      </c>
      <c r="I79">
        <f t="shared" si="2"/>
        <v>51.36</v>
      </c>
      <c r="J79">
        <f t="shared" si="3"/>
        <v>10.98776223776224</v>
      </c>
    </row>
    <row r="80" spans="1:10" x14ac:dyDescent="0.2">
      <c r="A80">
        <v>58.55</v>
      </c>
      <c r="B80">
        <v>3.19</v>
      </c>
      <c r="C80">
        <v>4.58</v>
      </c>
      <c r="D80">
        <v>11.86</v>
      </c>
      <c r="E80">
        <f>IF(ISBLANK(E78), AVERAGE($E$2:$E$141), E78)</f>
        <v>36.090000000000003</v>
      </c>
      <c r="F80" t="s">
        <v>10</v>
      </c>
      <c r="G80" t="str">
        <f>IF('[1]Raw Data'!G80="", "Unknown", '[1]Raw Data'!G80)</f>
        <v>TypeC</v>
      </c>
      <c r="H80">
        <v>0</v>
      </c>
      <c r="I80">
        <f t="shared" si="2"/>
        <v>48.484000000000002</v>
      </c>
      <c r="J80">
        <f t="shared" si="3"/>
        <v>7.4396442185514617</v>
      </c>
    </row>
    <row r="81" spans="1:10" x14ac:dyDescent="0.2">
      <c r="A81">
        <v>42.94</v>
      </c>
      <c r="B81">
        <v>1.75</v>
      </c>
      <c r="C81">
        <v>2.71</v>
      </c>
      <c r="D81">
        <v>7.6</v>
      </c>
      <c r="E81">
        <v>23.18</v>
      </c>
      <c r="F81" t="s">
        <v>11</v>
      </c>
      <c r="G81" t="str">
        <f>IF('[1]Raw Data'!G81="", "Unknown", '[1]Raw Data'!G81)</f>
        <v>TypeC</v>
      </c>
      <c r="H81">
        <v>0</v>
      </c>
      <c r="I81">
        <f t="shared" si="2"/>
        <v>35.382999999999996</v>
      </c>
      <c r="J81">
        <f t="shared" si="3"/>
        <v>9.4166666666666679</v>
      </c>
    </row>
    <row r="82" spans="1:10" x14ac:dyDescent="0.2">
      <c r="A82">
        <v>46.53</v>
      </c>
      <c r="B82">
        <v>8.98</v>
      </c>
      <c r="C82">
        <v>1.31</v>
      </c>
      <c r="D82">
        <v>5.03</v>
      </c>
      <c r="E82">
        <v>19.260000000000002</v>
      </c>
      <c r="F82" t="s">
        <v>11</v>
      </c>
      <c r="G82" t="str">
        <f>IF('[1]Raw Data'!G82="", "Unknown", '[1]Raw Data'!G82)</f>
        <v>Unknown</v>
      </c>
      <c r="H82">
        <v>0</v>
      </c>
      <c r="I82">
        <f t="shared" si="2"/>
        <v>37.858000000000004</v>
      </c>
      <c r="J82">
        <f t="shared" si="3"/>
        <v>4.478344562078922</v>
      </c>
    </row>
    <row r="83" spans="1:10" x14ac:dyDescent="0.2">
      <c r="A83">
        <v>84.12</v>
      </c>
      <c r="B83">
        <v>3.69</v>
      </c>
      <c r="C83">
        <v>1.1599999999999999</v>
      </c>
      <c r="D83">
        <v>4.5</v>
      </c>
      <c r="E83">
        <v>41.61</v>
      </c>
      <c r="F83" t="s">
        <v>10</v>
      </c>
      <c r="G83" t="str">
        <f>IF('[1]Raw Data'!G83="", "Unknown", '[1]Raw Data'!G83)</f>
        <v>TypeB</v>
      </c>
      <c r="H83">
        <v>1</v>
      </c>
      <c r="I83">
        <f t="shared" si="2"/>
        <v>67.862000000000009</v>
      </c>
      <c r="J83">
        <f t="shared" si="3"/>
        <v>16.993939393939396</v>
      </c>
    </row>
    <row r="84" spans="1:10" x14ac:dyDescent="0.2">
      <c r="A84">
        <v>37.590000000000003</v>
      </c>
      <c r="B84">
        <v>8.18</v>
      </c>
      <c r="C84">
        <v>2.1</v>
      </c>
      <c r="D84">
        <v>4.5599999999999996</v>
      </c>
      <c r="E84">
        <v>8.1300000000000008</v>
      </c>
      <c r="F84" t="s">
        <v>12</v>
      </c>
      <c r="G84" t="str">
        <f>IF('[1]Raw Data'!G84="", "Unknown", '[1]Raw Data'!G84)</f>
        <v>TypeB</v>
      </c>
      <c r="H84">
        <v>0</v>
      </c>
      <c r="I84">
        <f t="shared" si="2"/>
        <v>30.738000000000003</v>
      </c>
      <c r="J84">
        <f t="shared" si="3"/>
        <v>3.6213872832369951</v>
      </c>
    </row>
    <row r="85" spans="1:10" x14ac:dyDescent="0.2">
      <c r="A85">
        <v>26.41</v>
      </c>
      <c r="B85">
        <v>6.31</v>
      </c>
      <c r="C85">
        <v>1.1299999999999999</v>
      </c>
      <c r="D85">
        <v>7.47</v>
      </c>
      <c r="E85">
        <v>40.840000000000003</v>
      </c>
      <c r="F85" t="s">
        <v>12</v>
      </c>
      <c r="G85" t="str">
        <f>IF('[1]Raw Data'!G85="", "Unknown", '[1]Raw Data'!G85)</f>
        <v>TypeA</v>
      </c>
      <c r="H85">
        <v>0</v>
      </c>
      <c r="I85">
        <f t="shared" si="2"/>
        <v>21.988</v>
      </c>
      <c r="J85">
        <f t="shared" si="3"/>
        <v>3.5026525198938998</v>
      </c>
    </row>
    <row r="86" spans="1:10" x14ac:dyDescent="0.2">
      <c r="A86">
        <v>53.16</v>
      </c>
      <c r="B86">
        <v>7.26</v>
      </c>
      <c r="C86">
        <v>4.17</v>
      </c>
      <c r="D86">
        <v>1</v>
      </c>
      <c r="E86">
        <v>33.82</v>
      </c>
      <c r="F86" t="s">
        <v>11</v>
      </c>
      <c r="G86" t="str">
        <f>IF('[1]Raw Data'!G86="", "Unknown", '[1]Raw Data'!G86)</f>
        <v>TypeB</v>
      </c>
      <c r="H86">
        <v>0</v>
      </c>
      <c r="I86">
        <f t="shared" si="2"/>
        <v>43.045000000000002</v>
      </c>
      <c r="J86">
        <f t="shared" si="3"/>
        <v>4.6105810928013877</v>
      </c>
    </row>
    <row r="87" spans="1:10" x14ac:dyDescent="0.2">
      <c r="A87">
        <v>53.45</v>
      </c>
      <c r="B87">
        <v>5.05</v>
      </c>
      <c r="C87">
        <v>1.1200000000000001</v>
      </c>
      <c r="D87">
        <v>7.62</v>
      </c>
      <c r="E87">
        <v>14.34</v>
      </c>
      <c r="F87" t="s">
        <v>10</v>
      </c>
      <c r="G87" t="str">
        <f>IF('[1]Raw Data'!G87="", "Unknown", '[1]Raw Data'!G87)</f>
        <v>TypeA</v>
      </c>
      <c r="H87">
        <v>1</v>
      </c>
      <c r="I87">
        <f t="shared" si="2"/>
        <v>43.634000000000007</v>
      </c>
      <c r="J87">
        <f t="shared" si="3"/>
        <v>8.5247208931419465</v>
      </c>
    </row>
    <row r="88" spans="1:10" x14ac:dyDescent="0.2">
      <c r="A88">
        <v>11.43</v>
      </c>
      <c r="B88">
        <v>7.6</v>
      </c>
      <c r="C88">
        <v>0</v>
      </c>
      <c r="D88">
        <v>8.69</v>
      </c>
      <c r="E88">
        <v>31.56</v>
      </c>
      <c r="F88" t="s">
        <v>12</v>
      </c>
      <c r="G88" t="str">
        <f>IF('[1]Raw Data'!G88="", "Unknown", '[1]Raw Data'!G88)</f>
        <v>TypeA</v>
      </c>
      <c r="H88">
        <v>0</v>
      </c>
      <c r="I88">
        <f t="shared" si="2"/>
        <v>10.013</v>
      </c>
      <c r="J88">
        <f t="shared" si="3"/>
        <v>1.4844155844155844</v>
      </c>
    </row>
    <row r="89" spans="1:10" ht="17" x14ac:dyDescent="0.25">
      <c r="A89">
        <v>84.95</v>
      </c>
      <c r="B89">
        <v>4.25</v>
      </c>
      <c r="C89">
        <v>3.99</v>
      </c>
      <c r="D89" s="4">
        <f>IF(ISBLANK(D65), AVERAGE($D$2:$D$141), D65)</f>
        <v>4.57</v>
      </c>
      <c r="E89">
        <v>30.94</v>
      </c>
      <c r="F89" t="s">
        <v>12</v>
      </c>
      <c r="G89" t="str">
        <f>IF('[1]Raw Data'!G89="", "Unknown", '[1]Raw Data'!G89)</f>
        <v>TypeA</v>
      </c>
      <c r="H89">
        <v>1</v>
      </c>
      <c r="I89">
        <f t="shared" si="2"/>
        <v>68.816000000000003</v>
      </c>
      <c r="J89">
        <f t="shared" si="3"/>
        <v>10.185851318944845</v>
      </c>
    </row>
    <row r="90" spans="1:10" x14ac:dyDescent="0.2">
      <c r="A90">
        <v>47.66</v>
      </c>
      <c r="B90">
        <v>7.17</v>
      </c>
      <c r="C90">
        <v>3.98</v>
      </c>
      <c r="D90">
        <v>7.75</v>
      </c>
      <c r="E90">
        <v>18.13</v>
      </c>
      <c r="F90" t="s">
        <v>10</v>
      </c>
      <c r="G90" t="str">
        <f>IF('[1]Raw Data'!G90="", "Unknown", '[1]Raw Data'!G90)</f>
        <v>TypeA</v>
      </c>
      <c r="H90">
        <v>0</v>
      </c>
      <c r="I90">
        <f t="shared" si="2"/>
        <v>39.301000000000002</v>
      </c>
      <c r="J90">
        <f t="shared" si="3"/>
        <v>4.2364444444444445</v>
      </c>
    </row>
    <row r="91" spans="1:10" x14ac:dyDescent="0.2">
      <c r="A91">
        <v>76.650000000000006</v>
      </c>
      <c r="B91">
        <v>4.2300000000000004</v>
      </c>
      <c r="C91">
        <v>0.91</v>
      </c>
      <c r="D91">
        <v>10.039999999999999</v>
      </c>
      <c r="E91">
        <v>53.13</v>
      </c>
      <c r="F91" t="s">
        <v>11</v>
      </c>
      <c r="G91" t="str">
        <f>IF('[1]Raw Data'!G91="", "Unknown", '[1]Raw Data'!G91)</f>
        <v>TypeA</v>
      </c>
      <c r="H91">
        <v>1</v>
      </c>
      <c r="I91">
        <f t="shared" si="2"/>
        <v>62.415000000000006</v>
      </c>
      <c r="J91">
        <f t="shared" si="3"/>
        <v>14.627862595419847</v>
      </c>
    </row>
    <row r="92" spans="1:10" x14ac:dyDescent="0.2">
      <c r="A92">
        <v>38.32</v>
      </c>
      <c r="B92">
        <v>7.37</v>
      </c>
      <c r="C92">
        <v>1.4</v>
      </c>
      <c r="D92">
        <v>9.42</v>
      </c>
      <c r="E92">
        <v>22.45</v>
      </c>
      <c r="F92" t="s">
        <v>10</v>
      </c>
      <c r="G92" t="str">
        <f>IF('[1]Raw Data'!G92="", "Unknown", '[1]Raw Data'!G92)</f>
        <v>TypeA</v>
      </c>
      <c r="H92">
        <v>0</v>
      </c>
      <c r="I92">
        <f t="shared" si="2"/>
        <v>31.738000000000003</v>
      </c>
      <c r="J92">
        <f t="shared" si="3"/>
        <v>4.3201803833145442</v>
      </c>
    </row>
    <row r="93" spans="1:10" x14ac:dyDescent="0.2">
      <c r="A93">
        <v>54.51</v>
      </c>
      <c r="B93">
        <v>2.77</v>
      </c>
      <c r="C93">
        <v>3.78</v>
      </c>
      <c r="D93">
        <v>8.6</v>
      </c>
      <c r="E93">
        <v>13.67</v>
      </c>
      <c r="F93" t="s">
        <v>10</v>
      </c>
      <c r="G93" t="str">
        <f>IF('[1]Raw Data'!G93="", "Unknown", '[1]Raw Data'!G93)</f>
        <v>TypeA</v>
      </c>
      <c r="H93">
        <v>0</v>
      </c>
      <c r="I93">
        <f t="shared" si="2"/>
        <v>44.846000000000004</v>
      </c>
      <c r="J93">
        <f t="shared" si="3"/>
        <v>8.1969924812030079</v>
      </c>
    </row>
    <row r="94" spans="1:10" x14ac:dyDescent="0.2">
      <c r="A94">
        <v>58.79</v>
      </c>
      <c r="B94">
        <v>7.07</v>
      </c>
      <c r="C94">
        <v>0.8</v>
      </c>
      <c r="D94">
        <v>7.89</v>
      </c>
      <c r="E94">
        <v>16.3</v>
      </c>
      <c r="F94" t="s">
        <v>10</v>
      </c>
      <c r="G94" t="str">
        <f>IF('[1]Raw Data'!G94="", "Unknown", '[1]Raw Data'!G94)</f>
        <v>TypeC</v>
      </c>
      <c r="H94">
        <v>0</v>
      </c>
      <c r="I94">
        <f t="shared" si="2"/>
        <v>47.901000000000003</v>
      </c>
      <c r="J94">
        <f t="shared" si="3"/>
        <v>7.3764115432873272</v>
      </c>
    </row>
    <row r="95" spans="1:10" ht="17" x14ac:dyDescent="0.25">
      <c r="A95">
        <v>76.63</v>
      </c>
      <c r="B95" s="4">
        <f>IF(ISBLANK(B66), AVERAGE($B$2:$B$141), B66)</f>
        <v>1</v>
      </c>
      <c r="C95">
        <v>4.0599999999999996</v>
      </c>
      <c r="D95">
        <v>4.54</v>
      </c>
      <c r="E95">
        <v>11.32</v>
      </c>
      <c r="F95" t="s">
        <v>12</v>
      </c>
      <c r="G95" t="str">
        <f>IF('[1]Raw Data'!G95="", "Unknown", '[1]Raw Data'!G95)</f>
        <v>TypeB</v>
      </c>
      <c r="H95">
        <v>0</v>
      </c>
      <c r="I95">
        <f t="shared" si="2"/>
        <v>62.164000000000001</v>
      </c>
      <c r="J95">
        <f t="shared" si="3"/>
        <v>14.850775193798452</v>
      </c>
    </row>
    <row r="96" spans="1:10" ht="17" x14ac:dyDescent="0.25">
      <c r="A96">
        <v>39</v>
      </c>
      <c r="B96">
        <v>6.88</v>
      </c>
      <c r="C96">
        <v>1.34</v>
      </c>
      <c r="D96" s="4">
        <f>IF(ISBLANK(D72), AVERAGE($D$2:$D$141), D72)</f>
        <v>5.12</v>
      </c>
      <c r="E96">
        <v>17.649999999999999</v>
      </c>
      <c r="F96" t="s">
        <v>11</v>
      </c>
      <c r="G96" t="str">
        <f>IF('[1]Raw Data'!G96="", "Unknown", '[1]Raw Data'!G96)</f>
        <v>TypeA</v>
      </c>
      <c r="H96">
        <v>0</v>
      </c>
      <c r="I96">
        <f t="shared" si="2"/>
        <v>31.846000000000004</v>
      </c>
      <c r="J96">
        <f t="shared" si="3"/>
        <v>4.6875</v>
      </c>
    </row>
    <row r="97" spans="1:10" x14ac:dyDescent="0.2">
      <c r="A97">
        <v>53.71</v>
      </c>
      <c r="B97">
        <v>7.9</v>
      </c>
      <c r="C97">
        <v>4.46</v>
      </c>
      <c r="D97">
        <v>6.96</v>
      </c>
      <c r="E97">
        <v>16.850000000000001</v>
      </c>
      <c r="F97" t="s">
        <v>10</v>
      </c>
      <c r="G97" t="str">
        <f>IF('[1]Raw Data'!G97="", "Unknown", '[1]Raw Data'!G97)</f>
        <v>TypeC</v>
      </c>
      <c r="H97">
        <v>0</v>
      </c>
      <c r="I97">
        <f t="shared" si="2"/>
        <v>44.11</v>
      </c>
      <c r="J97">
        <f t="shared" si="3"/>
        <v>4.3105939004815417</v>
      </c>
    </row>
    <row r="98" spans="1:10" x14ac:dyDescent="0.2">
      <c r="A98">
        <v>37.06</v>
      </c>
      <c r="B98">
        <v>3.28</v>
      </c>
      <c r="C98">
        <v>2.8</v>
      </c>
      <c r="D98">
        <v>6.88</v>
      </c>
      <c r="E98">
        <v>0</v>
      </c>
      <c r="F98" t="s">
        <v>12</v>
      </c>
      <c r="G98" t="str">
        <f>IF('[1]Raw Data'!G98="", "Unknown", '[1]Raw Data'!G98)</f>
        <v>TypeC</v>
      </c>
      <c r="H98">
        <v>1</v>
      </c>
      <c r="I98">
        <f t="shared" si="2"/>
        <v>30.616000000000003</v>
      </c>
      <c r="J98">
        <f t="shared" si="3"/>
        <v>5.9967637540453085</v>
      </c>
    </row>
    <row r="99" spans="1:10" x14ac:dyDescent="0.2">
      <c r="A99">
        <v>57.99</v>
      </c>
      <c r="B99">
        <v>5.85</v>
      </c>
      <c r="C99">
        <v>1.76</v>
      </c>
      <c r="D99">
        <v>5.91</v>
      </c>
      <c r="E99">
        <v>35.25</v>
      </c>
      <c r="F99" t="s">
        <v>12</v>
      </c>
      <c r="G99" t="str">
        <f>IF('[1]Raw Data'!G99="", "Unknown", '[1]Raw Data'!G99)</f>
        <v>Unknown</v>
      </c>
      <c r="H99">
        <v>0</v>
      </c>
      <c r="I99">
        <f t="shared" si="2"/>
        <v>47.159000000000006</v>
      </c>
      <c r="J99">
        <f t="shared" si="3"/>
        <v>7.5214007782101175</v>
      </c>
    </row>
    <row r="100" spans="1:10" x14ac:dyDescent="0.2">
      <c r="A100">
        <v>28.91</v>
      </c>
      <c r="B100">
        <v>4.33</v>
      </c>
      <c r="C100">
        <v>0</v>
      </c>
      <c r="D100">
        <v>5.49</v>
      </c>
      <c r="E100">
        <v>22.02</v>
      </c>
      <c r="F100" t="s">
        <v>10</v>
      </c>
      <c r="G100" t="str">
        <f>IF('[1]Raw Data'!G100="", "Unknown", '[1]Raw Data'!G100)</f>
        <v>TypeA</v>
      </c>
      <c r="H100">
        <v>0</v>
      </c>
      <c r="I100">
        <f t="shared" si="2"/>
        <v>23.677</v>
      </c>
      <c r="J100">
        <f t="shared" si="3"/>
        <v>6.5259593679458243</v>
      </c>
    </row>
    <row r="101" spans="1:10" x14ac:dyDescent="0.2">
      <c r="A101">
        <v>36.85</v>
      </c>
      <c r="B101">
        <v>7.35</v>
      </c>
      <c r="C101">
        <v>4.79</v>
      </c>
      <c r="D101">
        <v>11.15</v>
      </c>
      <c r="E101">
        <v>34.770000000000003</v>
      </c>
      <c r="F101" t="s">
        <v>11</v>
      </c>
      <c r="G101" t="str">
        <f>IF('[1]Raw Data'!G101="", "Unknown", '[1]Raw Data'!G101)</f>
        <v>TypeA</v>
      </c>
      <c r="H101">
        <v>0</v>
      </c>
      <c r="I101">
        <f t="shared" si="2"/>
        <v>31.074000000000002</v>
      </c>
      <c r="J101">
        <f t="shared" si="3"/>
        <v>3.0106209150326797</v>
      </c>
    </row>
    <row r="102" spans="1:10" ht="17" x14ac:dyDescent="0.25">
      <c r="A102">
        <v>70.239999999999995</v>
      </c>
      <c r="B102">
        <v>7.04</v>
      </c>
      <c r="C102">
        <v>3.31</v>
      </c>
      <c r="D102">
        <v>8.74</v>
      </c>
      <c r="E102">
        <v>23.63</v>
      </c>
      <c r="F102" s="4" t="s">
        <v>10</v>
      </c>
      <c r="G102" t="str">
        <f>IF('[1]Raw Data'!G102="", "Unknown", '[1]Raw Data'!G102)</f>
        <v>TypeC</v>
      </c>
      <c r="H102">
        <v>0</v>
      </c>
      <c r="I102">
        <f t="shared" si="2"/>
        <v>57.397000000000006</v>
      </c>
      <c r="J102">
        <f t="shared" si="3"/>
        <v>6.7215311004784688</v>
      </c>
    </row>
    <row r="103" spans="1:10" x14ac:dyDescent="0.2">
      <c r="A103">
        <v>50.55</v>
      </c>
      <c r="B103">
        <v>6.47</v>
      </c>
      <c r="C103">
        <v>5.58</v>
      </c>
      <c r="D103">
        <v>11.39</v>
      </c>
      <c r="E103">
        <v>27.1</v>
      </c>
      <c r="F103" t="s">
        <v>11</v>
      </c>
      <c r="G103" t="str">
        <f>IF('[1]Raw Data'!G103="", "Unknown", '[1]Raw Data'!G103)</f>
        <v>TypeA</v>
      </c>
      <c r="H103">
        <v>0</v>
      </c>
      <c r="I103">
        <f t="shared" si="2"/>
        <v>42.137</v>
      </c>
      <c r="J103">
        <f t="shared" si="3"/>
        <v>4.1604938271604937</v>
      </c>
    </row>
    <row r="104" spans="1:10" x14ac:dyDescent="0.2">
      <c r="A104">
        <v>69.41</v>
      </c>
      <c r="B104">
        <v>7.84</v>
      </c>
      <c r="C104">
        <v>4.8600000000000003</v>
      </c>
      <c r="D104">
        <v>7.23</v>
      </c>
      <c r="E104">
        <v>23.26</v>
      </c>
      <c r="F104" t="s">
        <v>11</v>
      </c>
      <c r="G104" t="str">
        <f>IF('[1]Raw Data'!G104="", "Unknown", '[1]Raw Data'!G104)</f>
        <v>TypeA</v>
      </c>
      <c r="H104">
        <v>1</v>
      </c>
      <c r="I104">
        <f t="shared" si="2"/>
        <v>56.736999999999995</v>
      </c>
      <c r="J104">
        <f t="shared" si="3"/>
        <v>5.4226562500000002</v>
      </c>
    </row>
    <row r="105" spans="1:10" x14ac:dyDescent="0.2">
      <c r="A105">
        <v>65.7</v>
      </c>
      <c r="B105">
        <v>8.4600000000000009</v>
      </c>
      <c r="C105">
        <v>4.97</v>
      </c>
      <c r="D105">
        <v>9.59</v>
      </c>
      <c r="E105">
        <v>9.52</v>
      </c>
      <c r="F105" t="s">
        <v>10</v>
      </c>
      <c r="G105" t="str">
        <f>IF('[1]Raw Data'!G105="", "Unknown", '[1]Raw Data'!G105)</f>
        <v>TypeB</v>
      </c>
      <c r="H105">
        <v>0</v>
      </c>
      <c r="I105">
        <f t="shared" si="2"/>
        <v>54.016000000000005</v>
      </c>
      <c r="J105">
        <f t="shared" si="3"/>
        <v>4.8558758314855881</v>
      </c>
    </row>
    <row r="106" spans="1:10" x14ac:dyDescent="0.2">
      <c r="A106">
        <v>59.94</v>
      </c>
      <c r="B106">
        <v>3.54</v>
      </c>
      <c r="C106">
        <v>2.88</v>
      </c>
      <c r="D106">
        <v>2.2400000000000002</v>
      </c>
      <c r="E106">
        <v>18.5</v>
      </c>
      <c r="F106" t="s">
        <v>11</v>
      </c>
      <c r="G106" t="str">
        <f>IF('[1]Raw Data'!G106="", "Unknown", '[1]Raw Data'!G106)</f>
        <v>TypeB</v>
      </c>
      <c r="H106">
        <v>1</v>
      </c>
      <c r="I106">
        <f t="shared" si="2"/>
        <v>48.463999999999992</v>
      </c>
      <c r="J106">
        <f t="shared" si="3"/>
        <v>9.1932515337423322</v>
      </c>
    </row>
    <row r="107" spans="1:10" x14ac:dyDescent="0.2">
      <c r="A107">
        <v>77.48</v>
      </c>
      <c r="B107">
        <v>7.01</v>
      </c>
      <c r="C107">
        <v>3.72</v>
      </c>
      <c r="D107">
        <v>3.55</v>
      </c>
      <c r="E107">
        <v>42.32</v>
      </c>
      <c r="F107" t="s">
        <v>11</v>
      </c>
      <c r="G107" t="str">
        <f>IF('[1]Raw Data'!G107="", "Unknown", '[1]Raw Data'!G107)</f>
        <v>TypeB</v>
      </c>
      <c r="H107">
        <v>0</v>
      </c>
      <c r="I107">
        <f t="shared" si="2"/>
        <v>62.711000000000006</v>
      </c>
      <c r="J107">
        <f t="shared" si="3"/>
        <v>7.1542012927054479</v>
      </c>
    </row>
    <row r="108" spans="1:10" x14ac:dyDescent="0.2">
      <c r="A108">
        <v>13.71</v>
      </c>
      <c r="B108">
        <v>8.9600000000000009</v>
      </c>
      <c r="C108">
        <v>1.63</v>
      </c>
      <c r="D108">
        <v>7.93</v>
      </c>
      <c r="E108">
        <v>29.63</v>
      </c>
      <c r="F108" t="s">
        <v>12</v>
      </c>
      <c r="G108" t="str">
        <f>IF('[1]Raw Data'!G108="", "Unknown", '[1]Raw Data'!G108)</f>
        <v>TypeB</v>
      </c>
      <c r="H108">
        <v>0</v>
      </c>
      <c r="I108">
        <f t="shared" si="2"/>
        <v>11.924000000000001</v>
      </c>
      <c r="J108">
        <f t="shared" si="3"/>
        <v>1.282507015902713</v>
      </c>
    </row>
    <row r="109" spans="1:10" x14ac:dyDescent="0.2">
      <c r="A109">
        <v>6.94</v>
      </c>
      <c r="B109">
        <v>5.08</v>
      </c>
      <c r="C109">
        <v>4.03</v>
      </c>
      <c r="D109">
        <v>1.93</v>
      </c>
      <c r="E109">
        <v>40.340000000000003</v>
      </c>
      <c r="F109" t="s">
        <v>10</v>
      </c>
      <c r="G109" t="str">
        <f>IF('[1]Raw Data'!G109="", "Unknown", '[1]Raw Data'!G109)</f>
        <v>TypeB</v>
      </c>
      <c r="H109">
        <v>0</v>
      </c>
      <c r="I109">
        <f t="shared" si="2"/>
        <v>6.1479999999999997</v>
      </c>
      <c r="J109">
        <f t="shared" si="3"/>
        <v>0.75352877307274713</v>
      </c>
    </row>
    <row r="110" spans="1:10" x14ac:dyDescent="0.2">
      <c r="A110">
        <v>53.22</v>
      </c>
      <c r="B110">
        <v>5.6</v>
      </c>
      <c r="C110">
        <v>3.26</v>
      </c>
      <c r="D110">
        <v>5.19</v>
      </c>
      <c r="E110">
        <v>20.81</v>
      </c>
      <c r="F110" t="s">
        <v>12</v>
      </c>
      <c r="G110" t="str">
        <f>IF('[1]Raw Data'!G110="", "Unknown", '[1]Raw Data'!G110)</f>
        <v>TypeA</v>
      </c>
      <c r="H110">
        <v>0</v>
      </c>
      <c r="I110">
        <f t="shared" si="2"/>
        <v>43.420999999999999</v>
      </c>
      <c r="J110">
        <f t="shared" si="3"/>
        <v>5.9397321428571432</v>
      </c>
    </row>
    <row r="111" spans="1:10" x14ac:dyDescent="0.2">
      <c r="A111">
        <v>38.29</v>
      </c>
      <c r="B111">
        <v>6.28</v>
      </c>
      <c r="C111">
        <v>4.05</v>
      </c>
      <c r="D111">
        <v>9.06</v>
      </c>
      <c r="E111">
        <v>34.69</v>
      </c>
      <c r="F111" t="s">
        <v>10</v>
      </c>
      <c r="G111" t="str">
        <f>IF('[1]Raw Data'!G111="", "Unknown", '[1]Raw Data'!G111)</f>
        <v>TypeB</v>
      </c>
      <c r="H111">
        <v>1</v>
      </c>
      <c r="I111">
        <f t="shared" si="2"/>
        <v>31.943000000000001</v>
      </c>
      <c r="J111">
        <f t="shared" si="3"/>
        <v>3.6711409395973154</v>
      </c>
    </row>
    <row r="112" spans="1:10" x14ac:dyDescent="0.2">
      <c r="A112">
        <v>37.909999999999997</v>
      </c>
      <c r="B112">
        <v>4.95</v>
      </c>
      <c r="C112">
        <v>3.48</v>
      </c>
      <c r="D112">
        <v>8.32</v>
      </c>
      <c r="E112">
        <v>34.65</v>
      </c>
      <c r="F112" t="s">
        <v>10</v>
      </c>
      <c r="G112" t="str">
        <f>IF('[1]Raw Data'!G112="", "Unknown", '[1]Raw Data'!G112)</f>
        <v>TypeB</v>
      </c>
      <c r="H112">
        <v>1</v>
      </c>
      <c r="I112">
        <f t="shared" si="2"/>
        <v>31.507999999999999</v>
      </c>
      <c r="J112">
        <f t="shared" si="3"/>
        <v>4.4443141852286052</v>
      </c>
    </row>
    <row r="113" spans="1:10" x14ac:dyDescent="0.2">
      <c r="A113">
        <v>28.27</v>
      </c>
      <c r="B113">
        <v>2.9</v>
      </c>
      <c r="C113">
        <v>2.44</v>
      </c>
      <c r="D113">
        <v>2.3199999999999998</v>
      </c>
      <c r="E113">
        <f>IF(ISBLANK(E111), AVERAGE($E$2:$E$141), E111)</f>
        <v>34.69</v>
      </c>
      <c r="F113" t="s">
        <v>12</v>
      </c>
      <c r="G113" t="str">
        <f>IF('[1]Raw Data'!G113="", "Unknown", '[1]Raw Data'!G113)</f>
        <v>TypeA</v>
      </c>
      <c r="H113">
        <v>0</v>
      </c>
      <c r="I113">
        <f t="shared" si="2"/>
        <v>23.091999999999999</v>
      </c>
      <c r="J113">
        <f t="shared" si="3"/>
        <v>5.1966911764705888</v>
      </c>
    </row>
    <row r="114" spans="1:10" x14ac:dyDescent="0.2">
      <c r="A114">
        <v>41.48</v>
      </c>
      <c r="B114">
        <v>9.6199999999999992</v>
      </c>
      <c r="C114">
        <v>3.86</v>
      </c>
      <c r="D114">
        <v>7.2</v>
      </c>
      <c r="E114">
        <v>20.45</v>
      </c>
      <c r="F114" t="s">
        <v>12</v>
      </c>
      <c r="G114" t="str">
        <f>IF('[1]Raw Data'!G114="", "Unknown", '[1]Raw Data'!G114)</f>
        <v>TypeA</v>
      </c>
      <c r="H114">
        <v>0</v>
      </c>
      <c r="I114">
        <f t="shared" si="2"/>
        <v>34.29</v>
      </c>
      <c r="J114">
        <f t="shared" si="3"/>
        <v>3.0544918998527248</v>
      </c>
    </row>
    <row r="115" spans="1:10" x14ac:dyDescent="0.2">
      <c r="A115">
        <v>89.39</v>
      </c>
      <c r="B115">
        <v>5.0199999999999996</v>
      </c>
      <c r="C115">
        <v>0.96</v>
      </c>
      <c r="D115">
        <v>7.47</v>
      </c>
      <c r="E115">
        <v>34.1</v>
      </c>
      <c r="F115" t="s">
        <v>10</v>
      </c>
      <c r="G115" t="str">
        <f>IF('[1]Raw Data'!G115="", "Unknown", '[1]Raw Data'!G115)</f>
        <v>TypeB</v>
      </c>
      <c r="H115">
        <v>1</v>
      </c>
      <c r="I115">
        <f t="shared" si="2"/>
        <v>72.355000000000004</v>
      </c>
      <c r="J115">
        <f t="shared" si="3"/>
        <v>14.702302631578949</v>
      </c>
    </row>
    <row r="116" spans="1:10" ht="17" x14ac:dyDescent="0.25">
      <c r="A116" s="4">
        <f>IF(ISBLANK(A71), AVERAGE($A$2:$A$141), A71)</f>
        <v>62.85</v>
      </c>
      <c r="B116">
        <v>7.37</v>
      </c>
      <c r="C116">
        <v>2.75</v>
      </c>
      <c r="D116">
        <v>8.18</v>
      </c>
      <c r="E116">
        <v>37.72</v>
      </c>
      <c r="F116" t="s">
        <v>10</v>
      </c>
      <c r="G116" t="str">
        <f>IF('[1]Raw Data'!G116="", "Unknown", '[1]Raw Data'!G116)</f>
        <v>TypeA</v>
      </c>
      <c r="H116">
        <v>0</v>
      </c>
      <c r="I116">
        <f t="shared" si="2"/>
        <v>51.372999999999998</v>
      </c>
      <c r="J116">
        <f t="shared" si="3"/>
        <v>6.1497064579256362</v>
      </c>
    </row>
    <row r="117" spans="1:10" x14ac:dyDescent="0.2">
      <c r="A117">
        <v>51.71</v>
      </c>
      <c r="B117">
        <v>6.91</v>
      </c>
      <c r="C117">
        <v>3.73</v>
      </c>
      <c r="D117">
        <v>5.97</v>
      </c>
      <c r="E117">
        <v>28.02</v>
      </c>
      <c r="F117" t="s">
        <v>10</v>
      </c>
      <c r="G117" t="str">
        <f>IF('[1]Raw Data'!G117="", "Unknown", '[1]Raw Data'!G117)</f>
        <v>TypeA</v>
      </c>
      <c r="H117">
        <v>0</v>
      </c>
      <c r="I117">
        <f t="shared" si="2"/>
        <v>42.338000000000001</v>
      </c>
      <c r="J117">
        <f t="shared" si="3"/>
        <v>4.8147113594040967</v>
      </c>
    </row>
    <row r="118" spans="1:10" x14ac:dyDescent="0.2">
      <c r="A118">
        <v>56.05</v>
      </c>
      <c r="B118">
        <v>7.82</v>
      </c>
      <c r="C118">
        <v>2.82</v>
      </c>
      <c r="D118">
        <v>9.49</v>
      </c>
      <c r="E118">
        <v>25.19</v>
      </c>
      <c r="F118" t="s">
        <v>10</v>
      </c>
      <c r="G118" t="str">
        <f>IF('[1]Raw Data'!G118="", "Unknown", '[1]Raw Data'!G118)</f>
        <v>TypeA</v>
      </c>
      <c r="H118">
        <v>1</v>
      </c>
      <c r="I118">
        <f t="shared" si="2"/>
        <v>46.070999999999998</v>
      </c>
      <c r="J118">
        <f t="shared" si="3"/>
        <v>5.2188081936685284</v>
      </c>
    </row>
    <row r="119" spans="1:10" x14ac:dyDescent="0.2">
      <c r="A119">
        <v>51.91</v>
      </c>
      <c r="B119">
        <v>6.98</v>
      </c>
      <c r="C119">
        <v>3.57</v>
      </c>
      <c r="D119">
        <v>6.47</v>
      </c>
      <c r="E119">
        <v>37.56</v>
      </c>
      <c r="F119" t="s">
        <v>10</v>
      </c>
      <c r="G119" t="str">
        <f>IF('[1]Raw Data'!G119="", "Unknown", '[1]Raw Data'!G119)</f>
        <v>TypeC</v>
      </c>
      <c r="H119">
        <v>0</v>
      </c>
      <c r="I119">
        <f t="shared" si="2"/>
        <v>42.531999999999996</v>
      </c>
      <c r="J119">
        <f t="shared" si="3"/>
        <v>4.8741784037558684</v>
      </c>
    </row>
    <row r="120" spans="1:10" x14ac:dyDescent="0.2">
      <c r="A120">
        <v>79.47</v>
      </c>
      <c r="B120">
        <v>6.2</v>
      </c>
      <c r="C120">
        <v>3.81</v>
      </c>
      <c r="D120">
        <v>6.03</v>
      </c>
      <c r="E120">
        <v>23.75</v>
      </c>
      <c r="F120" t="s">
        <v>10</v>
      </c>
      <c r="G120" t="str">
        <f>IF('[1]Raw Data'!G120="", "Unknown", '[1]Raw Data'!G120)</f>
        <v>TypeB</v>
      </c>
      <c r="H120">
        <v>0</v>
      </c>
      <c r="I120">
        <f t="shared" si="2"/>
        <v>64.56</v>
      </c>
      <c r="J120">
        <f t="shared" si="3"/>
        <v>7.8605341246290807</v>
      </c>
    </row>
    <row r="121" spans="1:10" x14ac:dyDescent="0.2">
      <c r="A121">
        <v>54.06</v>
      </c>
      <c r="B121">
        <v>3.12</v>
      </c>
      <c r="C121">
        <v>2.58</v>
      </c>
      <c r="D121">
        <v>4.6100000000000003</v>
      </c>
      <c r="E121">
        <v>57.23</v>
      </c>
      <c r="F121" t="s">
        <v>12</v>
      </c>
      <c r="G121" t="str">
        <f>IF('[1]Raw Data'!G121="", "Unknown", '[1]Raw Data'!G121)</f>
        <v>TypeB</v>
      </c>
      <c r="H121">
        <v>0</v>
      </c>
      <c r="I121">
        <f t="shared" si="2"/>
        <v>43.967000000000006</v>
      </c>
      <c r="J121">
        <f t="shared" si="3"/>
        <v>9.3206896551724139</v>
      </c>
    </row>
    <row r="122" spans="1:10" x14ac:dyDescent="0.2">
      <c r="A122">
        <v>58.78</v>
      </c>
      <c r="B122">
        <v>5.48</v>
      </c>
      <c r="C122">
        <v>1.73</v>
      </c>
      <c r="D122">
        <v>5.12</v>
      </c>
      <c r="E122">
        <v>19.71</v>
      </c>
      <c r="F122" t="s">
        <v>10</v>
      </c>
      <c r="G122" t="str">
        <f>IF('[1]Raw Data'!G122="", "Unknown", '[1]Raw Data'!G122)</f>
        <v>TypeB</v>
      </c>
      <c r="H122">
        <v>0</v>
      </c>
      <c r="I122">
        <f t="shared" si="2"/>
        <v>47.709000000000003</v>
      </c>
      <c r="J122">
        <f t="shared" si="3"/>
        <v>8.0410396716826256</v>
      </c>
    </row>
    <row r="123" spans="1:10" x14ac:dyDescent="0.2">
      <c r="A123">
        <v>67.66</v>
      </c>
      <c r="B123">
        <v>7.19</v>
      </c>
      <c r="C123">
        <v>0</v>
      </c>
      <c r="D123">
        <v>2.79</v>
      </c>
      <c r="E123">
        <f>IF(ISBLANK(E121), AVERAGE($E$2:$E$141), E121)</f>
        <v>57.23</v>
      </c>
      <c r="F123" t="s">
        <v>10</v>
      </c>
      <c r="G123" t="str">
        <f>IF('[1]Raw Data'!G123="", "Unknown", '[1]Raw Data'!G123)</f>
        <v>TypeA</v>
      </c>
      <c r="H123">
        <v>0</v>
      </c>
      <c r="I123">
        <f t="shared" si="2"/>
        <v>54.407000000000004</v>
      </c>
      <c r="J123">
        <f t="shared" si="3"/>
        <v>9.2812071330589845</v>
      </c>
    </row>
    <row r="124" spans="1:10" x14ac:dyDescent="0.2">
      <c r="A124">
        <v>40.79</v>
      </c>
      <c r="B124">
        <v>4.7300000000000004</v>
      </c>
      <c r="C124">
        <v>2.27</v>
      </c>
      <c r="D124">
        <v>1.55</v>
      </c>
      <c r="E124">
        <v>19.02</v>
      </c>
      <c r="F124" t="s">
        <v>10</v>
      </c>
      <c r="G124" t="str">
        <f>IF('[1]Raw Data'!G124="", "Unknown", '[1]Raw Data'!G124)</f>
        <v>TypeC</v>
      </c>
      <c r="H124">
        <v>0</v>
      </c>
      <c r="I124">
        <f t="shared" si="2"/>
        <v>33.013999999999996</v>
      </c>
      <c r="J124">
        <f t="shared" si="3"/>
        <v>5.7450704225352114</v>
      </c>
    </row>
    <row r="125" spans="1:10" x14ac:dyDescent="0.2">
      <c r="A125">
        <v>35.729999999999997</v>
      </c>
      <c r="B125">
        <v>3.69</v>
      </c>
      <c r="C125">
        <v>3.53</v>
      </c>
      <c r="D125">
        <v>2.2799999999999998</v>
      </c>
      <c r="E125">
        <v>19.739999999999998</v>
      </c>
      <c r="F125" t="s">
        <v>11</v>
      </c>
      <c r="G125" t="str">
        <f>IF('[1]Raw Data'!G125="", "Unknown", '[1]Raw Data'!G125)</f>
        <v>TypeC</v>
      </c>
      <c r="H125">
        <v>0</v>
      </c>
      <c r="I125">
        <f t="shared" si="2"/>
        <v>29.165000000000003</v>
      </c>
      <c r="J125">
        <f t="shared" si="3"/>
        <v>4.8811475409836067</v>
      </c>
    </row>
    <row r="126" spans="1:10" x14ac:dyDescent="0.2">
      <c r="A126">
        <v>46.66</v>
      </c>
      <c r="B126">
        <v>3.19</v>
      </c>
      <c r="C126">
        <v>2.6</v>
      </c>
      <c r="D126">
        <v>5.51</v>
      </c>
      <c r="E126">
        <v>48.2</v>
      </c>
      <c r="F126" t="s">
        <v>10</v>
      </c>
      <c r="G126" t="str">
        <f>IF('[1]Raw Data'!G126="", "Unknown", '[1]Raw Data'!G126)</f>
        <v>Unknown</v>
      </c>
      <c r="H126">
        <v>0</v>
      </c>
      <c r="I126">
        <f t="shared" si="2"/>
        <v>38.138999999999996</v>
      </c>
      <c r="J126">
        <f t="shared" si="3"/>
        <v>7.9219015280135823</v>
      </c>
    </row>
    <row r="127" spans="1:10" x14ac:dyDescent="0.2">
      <c r="A127">
        <v>29.44</v>
      </c>
      <c r="B127">
        <v>6.62</v>
      </c>
      <c r="C127">
        <v>1.6</v>
      </c>
      <c r="D127">
        <v>7.94</v>
      </c>
      <c r="E127">
        <v>13.55</v>
      </c>
      <c r="F127" t="s">
        <v>11</v>
      </c>
      <c r="G127" t="str">
        <f>IF('[1]Raw Data'!G127="", "Unknown", '[1]Raw Data'!G127)</f>
        <v>TypeC</v>
      </c>
      <c r="H127">
        <v>0</v>
      </c>
      <c r="I127">
        <f t="shared" si="2"/>
        <v>24.506000000000004</v>
      </c>
      <c r="J127">
        <f t="shared" si="3"/>
        <v>3.5384615384615383</v>
      </c>
    </row>
    <row r="128" spans="1:10" x14ac:dyDescent="0.2">
      <c r="A128">
        <v>27.92</v>
      </c>
      <c r="B128">
        <v>9.31</v>
      </c>
      <c r="C128">
        <v>1.1499999999999999</v>
      </c>
      <c r="D128">
        <v>1</v>
      </c>
      <c r="E128">
        <v>30.99</v>
      </c>
      <c r="F128" t="s">
        <v>10</v>
      </c>
      <c r="G128" t="str">
        <f>IF('[1]Raw Data'!G128="", "Unknown", '[1]Raw Data'!G128)</f>
        <v>TypeB</v>
      </c>
      <c r="H128">
        <v>0</v>
      </c>
      <c r="I128">
        <f t="shared" si="2"/>
        <v>22.551000000000002</v>
      </c>
      <c r="J128">
        <f t="shared" si="3"/>
        <v>2.643939393939394</v>
      </c>
    </row>
    <row r="129" spans="1:10" x14ac:dyDescent="0.2">
      <c r="A129">
        <v>81.63</v>
      </c>
      <c r="B129">
        <v>8.06</v>
      </c>
      <c r="C129">
        <v>3.77</v>
      </c>
      <c r="D129">
        <v>9.19</v>
      </c>
      <c r="E129">
        <v>21.44</v>
      </c>
      <c r="F129" t="s">
        <v>10</v>
      </c>
      <c r="G129" t="str">
        <f>IF('[1]Raw Data'!G129="", "Unknown", '[1]Raw Data'!G129)</f>
        <v>TypeA</v>
      </c>
      <c r="H129">
        <v>0</v>
      </c>
      <c r="I129">
        <f t="shared" si="2"/>
        <v>66.599999999999994</v>
      </c>
      <c r="J129">
        <f t="shared" si="3"/>
        <v>6.8424140821458508</v>
      </c>
    </row>
    <row r="130" spans="1:10" x14ac:dyDescent="0.2">
      <c r="A130">
        <v>28.84</v>
      </c>
      <c r="B130">
        <v>11.03</v>
      </c>
      <c r="C130">
        <v>5.41</v>
      </c>
      <c r="D130">
        <v>8.4499999999999993</v>
      </c>
      <c r="E130">
        <v>2.52</v>
      </c>
      <c r="F130" t="s">
        <v>11</v>
      </c>
      <c r="G130" t="str">
        <f>IF('[1]Raw Data'!G130="", "Unknown", '[1]Raw Data'!G130)</f>
        <v>TypeC</v>
      </c>
      <c r="H130">
        <v>0</v>
      </c>
      <c r="I130">
        <f t="shared" ref="I130:I189" si="4" xml:space="preserve"> (A130 * 0.8) + (C130 * 0.1) + (D130 * 0.1)</f>
        <v>24.458000000000002</v>
      </c>
      <c r="J130">
        <f t="shared" ref="J130:J189" si="5" xml:space="preserve"> A130/ (B130 + C130 + 0.1)</f>
        <v>1.7436517533252722</v>
      </c>
    </row>
    <row r="131" spans="1:10" x14ac:dyDescent="0.2">
      <c r="A131">
        <v>45.51</v>
      </c>
      <c r="B131">
        <v>8.85</v>
      </c>
      <c r="C131">
        <v>1.62</v>
      </c>
      <c r="D131">
        <v>8.24</v>
      </c>
      <c r="E131">
        <v>8.73</v>
      </c>
      <c r="F131" t="s">
        <v>12</v>
      </c>
      <c r="G131" t="str">
        <f>IF('[1]Raw Data'!G131="", "Unknown", '[1]Raw Data'!G131)</f>
        <v>TypeB</v>
      </c>
      <c r="H131">
        <v>0</v>
      </c>
      <c r="I131">
        <f t="shared" si="4"/>
        <v>37.393999999999998</v>
      </c>
      <c r="J131">
        <f t="shared" si="5"/>
        <v>4.3055818353831601</v>
      </c>
    </row>
    <row r="132" spans="1:10" ht="17" x14ac:dyDescent="0.25">
      <c r="A132">
        <v>37.31</v>
      </c>
      <c r="B132">
        <v>5.38</v>
      </c>
      <c r="C132" s="4">
        <f>IF(ISBLANK(C114), AVERAGE($C$2:$C$141), C114)</f>
        <v>3.86</v>
      </c>
      <c r="D132">
        <v>9.9499999999999993</v>
      </c>
      <c r="E132">
        <v>19.09</v>
      </c>
      <c r="F132" t="s">
        <v>11</v>
      </c>
      <c r="G132" t="str">
        <f>IF('[1]Raw Data'!G132="", "Unknown", '[1]Raw Data'!G132)</f>
        <v>TypeB</v>
      </c>
      <c r="H132">
        <v>0</v>
      </c>
      <c r="I132">
        <f t="shared" si="4"/>
        <v>31.229000000000003</v>
      </c>
      <c r="J132">
        <f t="shared" si="5"/>
        <v>3.9946466809421843</v>
      </c>
    </row>
    <row r="133" spans="1:10" x14ac:dyDescent="0.2">
      <c r="A133">
        <v>50.91</v>
      </c>
      <c r="B133">
        <v>9.1300000000000008</v>
      </c>
      <c r="C133">
        <v>6.36</v>
      </c>
      <c r="D133">
        <v>7.2</v>
      </c>
      <c r="E133">
        <v>12.95</v>
      </c>
      <c r="F133" t="s">
        <v>11</v>
      </c>
      <c r="G133" t="str">
        <f>IF('[1]Raw Data'!G133="", "Unknown", '[1]Raw Data'!G133)</f>
        <v>Unknown</v>
      </c>
      <c r="H133">
        <v>0</v>
      </c>
      <c r="I133">
        <f t="shared" si="4"/>
        <v>42.084000000000003</v>
      </c>
      <c r="J133">
        <f t="shared" si="5"/>
        <v>3.2655548428479788</v>
      </c>
    </row>
    <row r="134" spans="1:10" ht="17" x14ac:dyDescent="0.25">
      <c r="A134" s="4">
        <f>IF(ISBLANK(A71), AVERAGE($A$2:$A$141), A71)</f>
        <v>62.85</v>
      </c>
      <c r="B134">
        <v>10.51</v>
      </c>
      <c r="C134">
        <v>4.6100000000000003</v>
      </c>
      <c r="D134">
        <v>9.16</v>
      </c>
      <c r="E134">
        <v>41.04</v>
      </c>
      <c r="F134" t="s">
        <v>11</v>
      </c>
      <c r="G134" t="str">
        <f>IF('[1]Raw Data'!G134="", "Unknown", '[1]Raw Data'!G134)</f>
        <v>TypeA</v>
      </c>
      <c r="H134">
        <v>0</v>
      </c>
      <c r="I134">
        <f t="shared" si="4"/>
        <v>51.656999999999996</v>
      </c>
      <c r="J134">
        <f t="shared" si="5"/>
        <v>4.1294349540078841</v>
      </c>
    </row>
    <row r="135" spans="1:10" x14ac:dyDescent="0.2">
      <c r="A135">
        <v>56.36</v>
      </c>
      <c r="B135">
        <v>8.57</v>
      </c>
      <c r="C135">
        <v>0.69</v>
      </c>
      <c r="D135">
        <v>7.44</v>
      </c>
      <c r="E135">
        <v>10.87</v>
      </c>
      <c r="F135" t="s">
        <v>12</v>
      </c>
      <c r="G135" t="str">
        <f>IF('[1]Raw Data'!G135="", "Unknown", '[1]Raw Data'!G135)</f>
        <v>TypeA</v>
      </c>
      <c r="H135">
        <v>0</v>
      </c>
      <c r="I135">
        <f t="shared" si="4"/>
        <v>45.901000000000003</v>
      </c>
      <c r="J135">
        <f t="shared" si="5"/>
        <v>6.0213675213675213</v>
      </c>
    </row>
    <row r="136" spans="1:10" x14ac:dyDescent="0.2">
      <c r="A136">
        <v>84.99</v>
      </c>
      <c r="B136">
        <v>6.7</v>
      </c>
      <c r="C136">
        <v>1.89</v>
      </c>
      <c r="D136">
        <v>8.73</v>
      </c>
      <c r="E136">
        <v>28.72</v>
      </c>
      <c r="F136" t="s">
        <v>12</v>
      </c>
      <c r="G136" t="str">
        <f>IF('[1]Raw Data'!G136="", "Unknown", '[1]Raw Data'!G136)</f>
        <v>TypeA</v>
      </c>
      <c r="H136">
        <v>1</v>
      </c>
      <c r="I136">
        <f t="shared" si="4"/>
        <v>69.054000000000002</v>
      </c>
      <c r="J136">
        <f t="shared" si="5"/>
        <v>9.7802071346375143</v>
      </c>
    </row>
    <row r="137" spans="1:10" x14ac:dyDescent="0.2">
      <c r="A137">
        <v>72.67</v>
      </c>
      <c r="B137">
        <v>5.99</v>
      </c>
      <c r="C137">
        <v>2.62</v>
      </c>
      <c r="D137">
        <v>7.71</v>
      </c>
      <c r="E137">
        <v>17.29</v>
      </c>
      <c r="F137" t="s">
        <v>12</v>
      </c>
      <c r="G137" t="str">
        <f>IF('[1]Raw Data'!G137="", "Unknown", '[1]Raw Data'!G137)</f>
        <v>TypeA</v>
      </c>
      <c r="H137">
        <v>0</v>
      </c>
      <c r="I137">
        <f t="shared" si="4"/>
        <v>59.169000000000004</v>
      </c>
      <c r="J137">
        <f t="shared" si="5"/>
        <v>8.343283582089553</v>
      </c>
    </row>
    <row r="138" spans="1:10" x14ac:dyDescent="0.2">
      <c r="A138">
        <v>42.18</v>
      </c>
      <c r="B138">
        <v>6.3</v>
      </c>
      <c r="C138">
        <v>5.04</v>
      </c>
      <c r="D138">
        <v>2</v>
      </c>
      <c r="E138">
        <v>50.85</v>
      </c>
      <c r="F138" t="s">
        <v>12</v>
      </c>
      <c r="G138" t="str">
        <f>IF('[1]Raw Data'!G138="", "Unknown", '[1]Raw Data'!G138)</f>
        <v>TypeB</v>
      </c>
      <c r="H138">
        <v>0</v>
      </c>
      <c r="I138">
        <f t="shared" si="4"/>
        <v>34.448</v>
      </c>
      <c r="J138">
        <f t="shared" si="5"/>
        <v>3.6870629370629371</v>
      </c>
    </row>
    <row r="139" spans="1:10" x14ac:dyDescent="0.2">
      <c r="A139">
        <v>84.82</v>
      </c>
      <c r="B139">
        <v>6.27</v>
      </c>
      <c r="C139">
        <v>1.87</v>
      </c>
      <c r="D139">
        <v>7.79</v>
      </c>
      <c r="E139">
        <v>54.97</v>
      </c>
      <c r="F139" t="s">
        <v>11</v>
      </c>
      <c r="G139" t="str">
        <f>IF('[1]Raw Data'!G139="", "Unknown", '[1]Raw Data'!G139)</f>
        <v>Unknown</v>
      </c>
      <c r="H139">
        <v>1</v>
      </c>
      <c r="I139">
        <f t="shared" si="4"/>
        <v>68.821999999999989</v>
      </c>
      <c r="J139">
        <f t="shared" si="5"/>
        <v>10.293689320388349</v>
      </c>
    </row>
    <row r="140" spans="1:10" x14ac:dyDescent="0.2">
      <c r="A140">
        <v>83.7</v>
      </c>
      <c r="B140">
        <v>8</v>
      </c>
      <c r="C140">
        <v>2.17</v>
      </c>
      <c r="D140">
        <v>9.98</v>
      </c>
      <c r="E140">
        <v>40.729999999999997</v>
      </c>
      <c r="F140" t="s">
        <v>10</v>
      </c>
      <c r="G140" t="str">
        <f>IF('[1]Raw Data'!G140="", "Unknown", '[1]Raw Data'!G140)</f>
        <v>Unknown</v>
      </c>
      <c r="H140">
        <v>1</v>
      </c>
      <c r="I140">
        <f t="shared" si="4"/>
        <v>68.175000000000011</v>
      </c>
      <c r="J140">
        <f t="shared" si="5"/>
        <v>8.1499513145082769</v>
      </c>
    </row>
    <row r="141" spans="1:10" x14ac:dyDescent="0.2">
      <c r="A141">
        <v>72.44</v>
      </c>
      <c r="B141">
        <v>6.85</v>
      </c>
      <c r="C141">
        <v>3.72</v>
      </c>
      <c r="D141">
        <v>6.27</v>
      </c>
      <c r="E141">
        <v>47.31</v>
      </c>
      <c r="F141" t="s">
        <v>10</v>
      </c>
      <c r="G141" t="str">
        <f>IF('[1]Raw Data'!G141="", "Unknown", '[1]Raw Data'!G141)</f>
        <v>TypeA</v>
      </c>
      <c r="H141">
        <v>1</v>
      </c>
      <c r="I141">
        <f t="shared" si="4"/>
        <v>58.951000000000001</v>
      </c>
      <c r="J141">
        <f t="shared" si="5"/>
        <v>6.7891283973758201</v>
      </c>
    </row>
    <row r="142" spans="1:10" x14ac:dyDescent="0.2">
      <c r="A142">
        <v>48.76</v>
      </c>
      <c r="B142">
        <v>6</v>
      </c>
      <c r="C142">
        <v>4.4000000000000004</v>
      </c>
      <c r="D142">
        <v>7.73</v>
      </c>
      <c r="E142">
        <v>13.88</v>
      </c>
      <c r="F142" t="s">
        <v>11</v>
      </c>
      <c r="G142" t="str">
        <f>IF('[1]Raw Data'!G142="", "Unknown", '[1]Raw Data'!G142)</f>
        <v>TypeB</v>
      </c>
      <c r="H142">
        <v>1</v>
      </c>
      <c r="I142">
        <f t="shared" si="4"/>
        <v>40.221000000000004</v>
      </c>
      <c r="J142">
        <f t="shared" si="5"/>
        <v>4.6438095238095238</v>
      </c>
    </row>
    <row r="143" spans="1:10" x14ac:dyDescent="0.2">
      <c r="A143">
        <v>54.7</v>
      </c>
      <c r="B143">
        <v>5.31</v>
      </c>
      <c r="C143">
        <v>3.28</v>
      </c>
      <c r="D143">
        <v>6.74</v>
      </c>
      <c r="E143">
        <v>36</v>
      </c>
      <c r="F143" t="s">
        <v>11</v>
      </c>
      <c r="G143" t="str">
        <f>IF('[1]Raw Data'!G143="", "Unknown", '[1]Raw Data'!G143)</f>
        <v>TypeA</v>
      </c>
      <c r="H143">
        <v>1</v>
      </c>
      <c r="I143">
        <f t="shared" si="4"/>
        <v>44.762000000000008</v>
      </c>
      <c r="J143">
        <f t="shared" si="5"/>
        <v>6.2945914844649025</v>
      </c>
    </row>
    <row r="144" spans="1:10" x14ac:dyDescent="0.2">
      <c r="A144">
        <v>57.5</v>
      </c>
      <c r="B144">
        <v>4.55</v>
      </c>
      <c r="C144">
        <v>2.35</v>
      </c>
      <c r="D144">
        <v>6.21</v>
      </c>
      <c r="E144">
        <v>33.590000000000003</v>
      </c>
      <c r="F144" t="s">
        <v>10</v>
      </c>
      <c r="G144" t="str">
        <f>IF('[1]Raw Data'!G144="", "Unknown", '[1]Raw Data'!G144)</f>
        <v>TypeC</v>
      </c>
      <c r="H144">
        <v>0</v>
      </c>
      <c r="I144">
        <f t="shared" si="4"/>
        <v>46.856000000000002</v>
      </c>
      <c r="J144">
        <f t="shared" si="5"/>
        <v>8.2142857142857135</v>
      </c>
    </row>
    <row r="145" spans="1:10" x14ac:dyDescent="0.2">
      <c r="A145">
        <v>46.76</v>
      </c>
      <c r="B145">
        <v>7.8</v>
      </c>
      <c r="C145">
        <v>0.77</v>
      </c>
      <c r="D145">
        <v>4.29</v>
      </c>
      <c r="E145">
        <v>33.049999999999997</v>
      </c>
      <c r="F145" t="s">
        <v>11</v>
      </c>
      <c r="G145" t="str">
        <f>IF('[1]Raw Data'!G145="", "Unknown", '[1]Raw Data'!G145)</f>
        <v>TypeB</v>
      </c>
      <c r="H145">
        <v>0</v>
      </c>
      <c r="I145">
        <f t="shared" si="4"/>
        <v>37.914000000000001</v>
      </c>
      <c r="J145">
        <f t="shared" si="5"/>
        <v>5.3933102652825831</v>
      </c>
    </row>
    <row r="146" spans="1:10" x14ac:dyDescent="0.2">
      <c r="A146">
        <v>56.44</v>
      </c>
      <c r="B146">
        <v>5.48</v>
      </c>
      <c r="C146">
        <v>3.18</v>
      </c>
      <c r="D146">
        <v>8.98</v>
      </c>
      <c r="E146">
        <v>26.31</v>
      </c>
      <c r="F146" t="s">
        <v>12</v>
      </c>
      <c r="G146" t="str">
        <f>IF('[1]Raw Data'!G146="", "Unknown", '[1]Raw Data'!G146)</f>
        <v>TypeA</v>
      </c>
      <c r="H146">
        <v>0</v>
      </c>
      <c r="I146">
        <f t="shared" si="4"/>
        <v>46.368000000000002</v>
      </c>
      <c r="J146">
        <f t="shared" si="5"/>
        <v>6.4429223744292239</v>
      </c>
    </row>
    <row r="147" spans="1:10" x14ac:dyDescent="0.2">
      <c r="A147">
        <v>24.42</v>
      </c>
      <c r="B147">
        <v>7.77</v>
      </c>
      <c r="C147">
        <v>0</v>
      </c>
      <c r="D147">
        <v>3.36</v>
      </c>
      <c r="E147">
        <v>27.3</v>
      </c>
      <c r="F147" t="s">
        <v>11</v>
      </c>
      <c r="G147" t="str">
        <f>IF('[1]Raw Data'!G147="", "Unknown", '[1]Raw Data'!G147)</f>
        <v>Unknown</v>
      </c>
      <c r="H147">
        <v>0</v>
      </c>
      <c r="I147">
        <f t="shared" si="4"/>
        <v>19.872</v>
      </c>
      <c r="J147">
        <f t="shared" si="5"/>
        <v>3.1029224904701405</v>
      </c>
    </row>
    <row r="148" spans="1:10" x14ac:dyDescent="0.2">
      <c r="A148">
        <v>59.06</v>
      </c>
      <c r="B148">
        <v>7.65</v>
      </c>
      <c r="C148">
        <v>3.63</v>
      </c>
      <c r="D148">
        <v>9.92</v>
      </c>
      <c r="E148">
        <v>36.229999999999997</v>
      </c>
      <c r="F148" t="s">
        <v>11</v>
      </c>
      <c r="G148" t="str">
        <f>IF('[1]Raw Data'!G148="", "Unknown", '[1]Raw Data'!G148)</f>
        <v>TypeB</v>
      </c>
      <c r="H148">
        <v>1</v>
      </c>
      <c r="I148">
        <f t="shared" si="4"/>
        <v>48.603000000000002</v>
      </c>
      <c r="J148">
        <f t="shared" si="5"/>
        <v>5.1898066783831283</v>
      </c>
    </row>
    <row r="149" spans="1:10" x14ac:dyDescent="0.2">
      <c r="A149">
        <v>62.71</v>
      </c>
      <c r="B149">
        <v>6.92</v>
      </c>
      <c r="C149">
        <v>0</v>
      </c>
      <c r="D149">
        <v>7.95</v>
      </c>
      <c r="E149">
        <v>35.68</v>
      </c>
      <c r="F149" t="s">
        <v>11</v>
      </c>
      <c r="G149" t="str">
        <f>IF('[1]Raw Data'!G149="", "Unknown", '[1]Raw Data'!G149)</f>
        <v>Unknown</v>
      </c>
      <c r="H149">
        <v>1</v>
      </c>
      <c r="I149">
        <f t="shared" si="4"/>
        <v>50.963000000000008</v>
      </c>
      <c r="J149">
        <f t="shared" si="5"/>
        <v>8.9330484330484339</v>
      </c>
    </row>
    <row r="150" spans="1:10" x14ac:dyDescent="0.2">
      <c r="A150">
        <v>56.39</v>
      </c>
      <c r="B150">
        <v>4.16</v>
      </c>
      <c r="C150">
        <v>4.99</v>
      </c>
      <c r="D150">
        <v>5.91</v>
      </c>
      <c r="E150">
        <v>12.45</v>
      </c>
      <c r="F150" t="s">
        <v>11</v>
      </c>
      <c r="G150" t="str">
        <f>IF('[1]Raw Data'!G150="", "Unknown", '[1]Raw Data'!G150)</f>
        <v>TypeB</v>
      </c>
      <c r="H150">
        <v>0</v>
      </c>
      <c r="I150">
        <f t="shared" si="4"/>
        <v>46.202000000000005</v>
      </c>
      <c r="J150">
        <f t="shared" si="5"/>
        <v>6.0962162162162166</v>
      </c>
    </row>
    <row r="151" spans="1:10" x14ac:dyDescent="0.2">
      <c r="A151">
        <v>29.73</v>
      </c>
      <c r="B151">
        <v>5.8</v>
      </c>
      <c r="C151">
        <v>2</v>
      </c>
      <c r="D151">
        <v>5.42</v>
      </c>
      <c r="E151">
        <v>36.5</v>
      </c>
      <c r="F151" t="s">
        <v>10</v>
      </c>
      <c r="G151" t="str">
        <f>IF('[1]Raw Data'!G151="", "Unknown", '[1]Raw Data'!G151)</f>
        <v>TypeA</v>
      </c>
      <c r="H151">
        <v>0</v>
      </c>
      <c r="I151">
        <f t="shared" si="4"/>
        <v>24.526000000000003</v>
      </c>
      <c r="J151">
        <f t="shared" si="5"/>
        <v>3.7632911392405068</v>
      </c>
    </row>
    <row r="152" spans="1:10" x14ac:dyDescent="0.2">
      <c r="A152">
        <v>60.74</v>
      </c>
      <c r="B152">
        <v>7.8</v>
      </c>
      <c r="C152">
        <v>4.68</v>
      </c>
      <c r="D152">
        <v>5.9</v>
      </c>
      <c r="E152">
        <v>31.68</v>
      </c>
      <c r="F152" t="s">
        <v>12</v>
      </c>
      <c r="G152" t="str">
        <f>IF('[1]Raw Data'!G152="", "Unknown", '[1]Raw Data'!G152)</f>
        <v>TypeC</v>
      </c>
      <c r="H152">
        <v>0</v>
      </c>
      <c r="I152">
        <f t="shared" si="4"/>
        <v>49.650000000000006</v>
      </c>
      <c r="J152">
        <f t="shared" si="5"/>
        <v>4.8282988871224166</v>
      </c>
    </row>
    <row r="153" spans="1:10" x14ac:dyDescent="0.2">
      <c r="A153">
        <v>64.599999999999994</v>
      </c>
      <c r="B153">
        <v>3.02</v>
      </c>
      <c r="C153">
        <v>6.94</v>
      </c>
      <c r="D153">
        <v>11.03</v>
      </c>
      <c r="E153">
        <v>41.98</v>
      </c>
      <c r="F153" t="s">
        <v>10</v>
      </c>
      <c r="G153" t="str">
        <f>IF('[1]Raw Data'!G153="", "Unknown", '[1]Raw Data'!G153)</f>
        <v>TypeB</v>
      </c>
      <c r="H153">
        <v>1</v>
      </c>
      <c r="I153">
        <f t="shared" si="4"/>
        <v>53.477000000000004</v>
      </c>
      <c r="J153">
        <f t="shared" si="5"/>
        <v>6.4214711729622254</v>
      </c>
    </row>
    <row r="154" spans="1:10" x14ac:dyDescent="0.2">
      <c r="A154">
        <v>71.09</v>
      </c>
      <c r="B154">
        <v>6.9</v>
      </c>
      <c r="C154">
        <v>2.94</v>
      </c>
      <c r="D154">
        <v>6.35</v>
      </c>
      <c r="E154">
        <v>30.2</v>
      </c>
      <c r="F154" t="s">
        <v>10</v>
      </c>
      <c r="G154" t="str">
        <f>IF('[1]Raw Data'!G154="", "Unknown", '[1]Raw Data'!G154)</f>
        <v>TypeC</v>
      </c>
      <c r="H154">
        <v>1</v>
      </c>
      <c r="I154">
        <f t="shared" si="4"/>
        <v>57.801000000000002</v>
      </c>
      <c r="J154">
        <f t="shared" si="5"/>
        <v>7.1519114688128775</v>
      </c>
    </row>
    <row r="155" spans="1:10" x14ac:dyDescent="0.2">
      <c r="A155">
        <v>46.28</v>
      </c>
      <c r="B155">
        <v>6.85</v>
      </c>
      <c r="C155">
        <v>2.27</v>
      </c>
      <c r="D155">
        <v>7.4</v>
      </c>
      <c r="E155">
        <v>55.04</v>
      </c>
      <c r="F155" t="s">
        <v>12</v>
      </c>
      <c r="G155" t="str">
        <f>IF('[1]Raw Data'!G155="", "Unknown", '[1]Raw Data'!G155)</f>
        <v>TypeB</v>
      </c>
      <c r="H155">
        <v>0</v>
      </c>
      <c r="I155">
        <f t="shared" si="4"/>
        <v>37.991</v>
      </c>
      <c r="J155">
        <f t="shared" si="5"/>
        <v>5.0195227765726687</v>
      </c>
    </row>
    <row r="156" spans="1:10" ht="17" x14ac:dyDescent="0.25">
      <c r="A156">
        <v>41.77</v>
      </c>
      <c r="B156">
        <v>3.84</v>
      </c>
      <c r="C156">
        <v>2.4700000000000002</v>
      </c>
      <c r="D156" s="4">
        <f>IF(ISBLANK(D134), AVERAGE($D$2:$D$141), D134)</f>
        <v>9.16</v>
      </c>
      <c r="E156">
        <v>9.68</v>
      </c>
      <c r="F156" t="s">
        <v>11</v>
      </c>
      <c r="G156" t="str">
        <f>IF('[1]Raw Data'!G156="", "Unknown", '[1]Raw Data'!G156)</f>
        <v>Unknown</v>
      </c>
      <c r="H156">
        <v>0</v>
      </c>
      <c r="I156">
        <f t="shared" si="4"/>
        <v>34.579000000000001</v>
      </c>
      <c r="J156">
        <f t="shared" si="5"/>
        <v>6.5163806552262091</v>
      </c>
    </row>
    <row r="157" spans="1:10" x14ac:dyDescent="0.2">
      <c r="A157">
        <v>62.99</v>
      </c>
      <c r="B157">
        <v>4.0999999999999996</v>
      </c>
      <c r="C157">
        <v>3.2</v>
      </c>
      <c r="D157">
        <v>6.24</v>
      </c>
      <c r="E157">
        <v>17.41</v>
      </c>
      <c r="F157" t="s">
        <v>10</v>
      </c>
      <c r="G157" t="str">
        <f>IF('[1]Raw Data'!G157="", "Unknown", '[1]Raw Data'!G157)</f>
        <v>TypeA</v>
      </c>
      <c r="H157">
        <v>0</v>
      </c>
      <c r="I157">
        <f t="shared" si="4"/>
        <v>51.336000000000006</v>
      </c>
      <c r="J157">
        <f t="shared" si="5"/>
        <v>8.5121621621621628</v>
      </c>
    </row>
    <row r="158" spans="1:10" x14ac:dyDescent="0.2">
      <c r="A158">
        <v>71.8</v>
      </c>
      <c r="B158">
        <v>6.04</v>
      </c>
      <c r="C158">
        <v>2.5099999999999998</v>
      </c>
      <c r="D158">
        <v>6.29</v>
      </c>
      <c r="E158">
        <f>IF(ISBLANK(E156), AVERAGE($E$2:$E$141), E156)</f>
        <v>9.68</v>
      </c>
      <c r="F158" t="s">
        <v>10</v>
      </c>
      <c r="G158" t="str">
        <f>IF('[1]Raw Data'!G158="", "Unknown", '[1]Raw Data'!G158)</f>
        <v>TypeB</v>
      </c>
      <c r="H158">
        <v>0</v>
      </c>
      <c r="I158">
        <f t="shared" si="4"/>
        <v>58.319999999999993</v>
      </c>
      <c r="J158">
        <f t="shared" si="5"/>
        <v>8.300578034682081</v>
      </c>
    </row>
    <row r="159" spans="1:10" x14ac:dyDescent="0.2">
      <c r="A159">
        <v>19.87</v>
      </c>
      <c r="B159">
        <v>5.42</v>
      </c>
      <c r="C159">
        <v>1.0900000000000001</v>
      </c>
      <c r="D159">
        <v>6.17</v>
      </c>
      <c r="E159">
        <v>10.26</v>
      </c>
      <c r="F159" t="s">
        <v>10</v>
      </c>
      <c r="G159" t="str">
        <f>IF('[1]Raw Data'!G159="", "Unknown", '[1]Raw Data'!G159)</f>
        <v>TypeC</v>
      </c>
      <c r="H159">
        <v>0</v>
      </c>
      <c r="I159">
        <f t="shared" si="4"/>
        <v>16.622000000000003</v>
      </c>
      <c r="J159">
        <f t="shared" si="5"/>
        <v>3.0060514372163394</v>
      </c>
    </row>
    <row r="160" spans="1:10" x14ac:dyDescent="0.2">
      <c r="A160">
        <v>73.650000000000006</v>
      </c>
      <c r="B160">
        <v>11.55</v>
      </c>
      <c r="C160">
        <v>1.05</v>
      </c>
      <c r="D160">
        <v>6.78</v>
      </c>
      <c r="E160">
        <v>33.93</v>
      </c>
      <c r="F160" t="s">
        <v>10</v>
      </c>
      <c r="G160" t="str">
        <f>IF('[1]Raw Data'!G160="", "Unknown", '[1]Raw Data'!G160)</f>
        <v>TypeA</v>
      </c>
      <c r="H160">
        <v>0</v>
      </c>
      <c r="I160">
        <f t="shared" si="4"/>
        <v>59.703000000000003</v>
      </c>
      <c r="J160">
        <f t="shared" si="5"/>
        <v>5.7992125984251972</v>
      </c>
    </row>
    <row r="161" spans="1:10" x14ac:dyDescent="0.2">
      <c r="A161">
        <v>71.41</v>
      </c>
      <c r="B161">
        <v>2.52</v>
      </c>
      <c r="C161">
        <v>4.2699999999999996</v>
      </c>
      <c r="D161">
        <v>5.35</v>
      </c>
      <c r="E161">
        <v>9.39</v>
      </c>
      <c r="F161" t="s">
        <v>12</v>
      </c>
      <c r="G161" t="str">
        <f>IF('[1]Raw Data'!G161="", "Unknown", '[1]Raw Data'!G161)</f>
        <v>TypeA</v>
      </c>
      <c r="H161">
        <v>0</v>
      </c>
      <c r="I161">
        <f t="shared" si="4"/>
        <v>58.089999999999996</v>
      </c>
      <c r="J161">
        <f t="shared" si="5"/>
        <v>10.364296081277214</v>
      </c>
    </row>
    <row r="162" spans="1:10" x14ac:dyDescent="0.2">
      <c r="A162">
        <v>40.159999999999997</v>
      </c>
      <c r="B162">
        <v>5.04</v>
      </c>
      <c r="C162">
        <v>3.57</v>
      </c>
      <c r="D162">
        <v>2.2599999999999998</v>
      </c>
      <c r="E162">
        <v>0</v>
      </c>
      <c r="F162" t="s">
        <v>11</v>
      </c>
      <c r="G162" t="str">
        <f>IF('[1]Raw Data'!G162="", "Unknown", '[1]Raw Data'!G162)</f>
        <v>TypeB</v>
      </c>
      <c r="H162">
        <v>0</v>
      </c>
      <c r="I162">
        <f t="shared" si="4"/>
        <v>32.710999999999999</v>
      </c>
      <c r="J162">
        <f t="shared" si="5"/>
        <v>4.6107921928817452</v>
      </c>
    </row>
    <row r="163" spans="1:10" x14ac:dyDescent="0.2">
      <c r="A163">
        <v>46.99</v>
      </c>
      <c r="B163">
        <v>6.73</v>
      </c>
      <c r="C163">
        <v>2.85</v>
      </c>
      <c r="D163">
        <v>6.55</v>
      </c>
      <c r="E163">
        <v>63.05</v>
      </c>
      <c r="F163" t="s">
        <v>12</v>
      </c>
      <c r="G163" t="str">
        <f>IF('[1]Raw Data'!G163="", "Unknown", '[1]Raw Data'!G163)</f>
        <v>TypeA</v>
      </c>
      <c r="H163">
        <v>0</v>
      </c>
      <c r="I163">
        <f t="shared" si="4"/>
        <v>38.532000000000004</v>
      </c>
      <c r="J163">
        <f t="shared" si="5"/>
        <v>4.8543388429752072</v>
      </c>
    </row>
    <row r="164" spans="1:10" x14ac:dyDescent="0.2">
      <c r="A164">
        <v>51.65</v>
      </c>
      <c r="B164">
        <v>2.8</v>
      </c>
      <c r="C164">
        <v>1.93</v>
      </c>
      <c r="D164">
        <v>7.75</v>
      </c>
      <c r="E164">
        <v>20.45</v>
      </c>
      <c r="F164" t="s">
        <v>12</v>
      </c>
      <c r="G164" t="str">
        <f>IF('[1]Raw Data'!G164="", "Unknown", '[1]Raw Data'!G164)</f>
        <v>TypeC</v>
      </c>
      <c r="H164">
        <v>0</v>
      </c>
      <c r="I164">
        <f t="shared" si="4"/>
        <v>42.287999999999997</v>
      </c>
      <c r="J164">
        <f t="shared" si="5"/>
        <v>10.693581780538304</v>
      </c>
    </row>
    <row r="165" spans="1:10" x14ac:dyDescent="0.2">
      <c r="A165">
        <v>58.53</v>
      </c>
      <c r="B165">
        <v>4.88</v>
      </c>
      <c r="C165">
        <v>0</v>
      </c>
      <c r="D165">
        <v>7.18</v>
      </c>
      <c r="E165">
        <v>14.59</v>
      </c>
      <c r="F165" t="s">
        <v>10</v>
      </c>
      <c r="G165" t="str">
        <f>IF('[1]Raw Data'!G165="", "Unknown", '[1]Raw Data'!G165)</f>
        <v>TypeC</v>
      </c>
      <c r="H165">
        <v>0</v>
      </c>
      <c r="I165">
        <f t="shared" si="4"/>
        <v>47.542000000000002</v>
      </c>
      <c r="J165">
        <f t="shared" si="5"/>
        <v>11.753012048192772</v>
      </c>
    </row>
    <row r="166" spans="1:10" x14ac:dyDescent="0.2">
      <c r="A166">
        <v>25.49</v>
      </c>
      <c r="B166">
        <v>5.81</v>
      </c>
      <c r="C166">
        <v>2.58</v>
      </c>
      <c r="D166">
        <v>11.03</v>
      </c>
      <c r="E166">
        <v>10.81</v>
      </c>
      <c r="F166" t="s">
        <v>10</v>
      </c>
      <c r="G166" t="str">
        <f>IF('[1]Raw Data'!G166="", "Unknown", '[1]Raw Data'!G166)</f>
        <v>TypeA</v>
      </c>
      <c r="H166">
        <v>1</v>
      </c>
      <c r="I166">
        <f t="shared" si="4"/>
        <v>21.753</v>
      </c>
      <c r="J166">
        <f t="shared" si="5"/>
        <v>3.002355712603062</v>
      </c>
    </row>
    <row r="167" spans="1:10" ht="17" x14ac:dyDescent="0.25">
      <c r="A167" s="4">
        <f>IF(ISBLANK(A159), AVERAGE($A$2:$A$141), A159)</f>
        <v>19.87</v>
      </c>
      <c r="B167">
        <v>7.17</v>
      </c>
      <c r="C167">
        <v>4.54</v>
      </c>
      <c r="D167">
        <v>5.98</v>
      </c>
      <c r="E167">
        <v>29.46</v>
      </c>
      <c r="F167" t="s">
        <v>10</v>
      </c>
      <c r="G167" t="str">
        <f>IF('[1]Raw Data'!G167="", "Unknown", '[1]Raw Data'!G167)</f>
        <v>TypeC</v>
      </c>
      <c r="H167">
        <v>0</v>
      </c>
      <c r="I167">
        <f t="shared" si="4"/>
        <v>16.948</v>
      </c>
      <c r="J167">
        <f t="shared" si="5"/>
        <v>1.6824724809483489</v>
      </c>
    </row>
    <row r="168" spans="1:10" x14ac:dyDescent="0.2">
      <c r="A168">
        <v>55.23</v>
      </c>
      <c r="B168">
        <v>6.36</v>
      </c>
      <c r="C168">
        <v>0.96</v>
      </c>
      <c r="D168">
        <v>2.97</v>
      </c>
      <c r="E168">
        <v>42.21</v>
      </c>
      <c r="F168" t="s">
        <v>11</v>
      </c>
      <c r="G168" t="str">
        <f>IF('[1]Raw Data'!G168="", "Unknown", '[1]Raw Data'!G168)</f>
        <v>TypeC</v>
      </c>
      <c r="H168">
        <v>0</v>
      </c>
      <c r="I168">
        <f t="shared" si="4"/>
        <v>44.576999999999991</v>
      </c>
      <c r="J168">
        <f t="shared" si="5"/>
        <v>7.4433962264150937</v>
      </c>
    </row>
    <row r="169" spans="1:10" x14ac:dyDescent="0.2">
      <c r="A169">
        <v>42.58</v>
      </c>
      <c r="B169">
        <v>8.4</v>
      </c>
      <c r="C169">
        <v>3.09</v>
      </c>
      <c r="D169">
        <v>10.86</v>
      </c>
      <c r="E169">
        <v>21.81</v>
      </c>
      <c r="F169" t="s">
        <v>11</v>
      </c>
      <c r="G169" t="str">
        <f>IF('[1]Raw Data'!G169="", "Unknown", '[1]Raw Data'!G169)</f>
        <v>TypeB</v>
      </c>
      <c r="H169">
        <v>1</v>
      </c>
      <c r="I169">
        <f t="shared" si="4"/>
        <v>35.458999999999996</v>
      </c>
      <c r="J169">
        <f t="shared" si="5"/>
        <v>3.6738567730802414</v>
      </c>
    </row>
    <row r="170" spans="1:10" x14ac:dyDescent="0.2">
      <c r="A170">
        <v>66.150000000000006</v>
      </c>
      <c r="B170">
        <v>6.39</v>
      </c>
      <c r="C170">
        <v>5.57</v>
      </c>
      <c r="D170">
        <v>8.7899999999999991</v>
      </c>
      <c r="E170">
        <v>10.99</v>
      </c>
      <c r="F170" t="s">
        <v>10</v>
      </c>
      <c r="G170" t="str">
        <f>IF('[1]Raw Data'!G170="", "Unknown", '[1]Raw Data'!G170)</f>
        <v>TypeB</v>
      </c>
      <c r="H170">
        <v>0</v>
      </c>
      <c r="I170">
        <f t="shared" si="4"/>
        <v>54.356000000000009</v>
      </c>
      <c r="J170">
        <f t="shared" si="5"/>
        <v>5.4850746268656723</v>
      </c>
    </row>
    <row r="171" spans="1:10" x14ac:dyDescent="0.2">
      <c r="A171">
        <v>28.71</v>
      </c>
      <c r="B171">
        <v>3.38</v>
      </c>
      <c r="C171">
        <v>3.2</v>
      </c>
      <c r="D171">
        <v>5.04</v>
      </c>
      <c r="E171">
        <v>9.94</v>
      </c>
      <c r="F171" t="s">
        <v>10</v>
      </c>
      <c r="G171" t="str">
        <f>IF('[1]Raw Data'!G171="", "Unknown", '[1]Raw Data'!G171)</f>
        <v>TypeB</v>
      </c>
      <c r="H171">
        <v>0</v>
      </c>
      <c r="I171">
        <f t="shared" si="4"/>
        <v>23.792000000000005</v>
      </c>
      <c r="J171">
        <f t="shared" si="5"/>
        <v>4.2979041916167668</v>
      </c>
    </row>
    <row r="172" spans="1:10" x14ac:dyDescent="0.2">
      <c r="A172">
        <v>30.44</v>
      </c>
      <c r="B172">
        <v>3.84</v>
      </c>
      <c r="C172">
        <v>2.94</v>
      </c>
      <c r="D172">
        <v>6.87</v>
      </c>
      <c r="E172">
        <v>31.4</v>
      </c>
      <c r="F172" t="s">
        <v>10</v>
      </c>
      <c r="G172" t="str">
        <f>IF('[1]Raw Data'!G172="", "Unknown", '[1]Raw Data'!G172)</f>
        <v>TypeC</v>
      </c>
      <c r="H172">
        <v>1</v>
      </c>
      <c r="I172">
        <f t="shared" si="4"/>
        <v>25.333000000000006</v>
      </c>
      <c r="J172">
        <f t="shared" si="5"/>
        <v>4.424418604651164</v>
      </c>
    </row>
    <row r="173" spans="1:10" x14ac:dyDescent="0.2">
      <c r="A173">
        <v>20.83</v>
      </c>
      <c r="B173">
        <v>8.49</v>
      </c>
      <c r="C173">
        <v>0.94</v>
      </c>
      <c r="D173">
        <v>8.65</v>
      </c>
      <c r="E173">
        <v>36.799999999999997</v>
      </c>
      <c r="F173" t="s">
        <v>11</v>
      </c>
      <c r="G173" t="str">
        <f>IF('[1]Raw Data'!G173="", "Unknown", '[1]Raw Data'!G173)</f>
        <v>TypeB</v>
      </c>
      <c r="H173">
        <v>0</v>
      </c>
      <c r="I173">
        <f t="shared" si="4"/>
        <v>17.622999999999998</v>
      </c>
      <c r="J173">
        <f t="shared" si="5"/>
        <v>2.1857292759706191</v>
      </c>
    </row>
    <row r="174" spans="1:10" x14ac:dyDescent="0.2">
      <c r="A174">
        <v>38.51</v>
      </c>
      <c r="B174">
        <v>5.95</v>
      </c>
      <c r="C174">
        <v>1.7</v>
      </c>
      <c r="D174">
        <v>7.94</v>
      </c>
      <c r="E174">
        <v>31.77</v>
      </c>
      <c r="F174" t="s">
        <v>10</v>
      </c>
      <c r="G174" t="str">
        <f>IF('[1]Raw Data'!G174="", "Unknown", '[1]Raw Data'!G174)</f>
        <v>TypeB</v>
      </c>
      <c r="H174">
        <v>1</v>
      </c>
      <c r="I174">
        <f t="shared" si="4"/>
        <v>31.772000000000002</v>
      </c>
      <c r="J174">
        <f t="shared" si="5"/>
        <v>4.9690322580645159</v>
      </c>
    </row>
    <row r="175" spans="1:10" ht="17" x14ac:dyDescent="0.25">
      <c r="A175" s="4">
        <f>IF(ISBLANK(A168), AVERAGE($A$2:$A$141), A168)</f>
        <v>55.23</v>
      </c>
      <c r="B175">
        <v>7.08</v>
      </c>
      <c r="C175">
        <v>2.76</v>
      </c>
      <c r="D175">
        <v>7.9</v>
      </c>
      <c r="E175">
        <v>41.44</v>
      </c>
      <c r="F175" t="s">
        <v>12</v>
      </c>
      <c r="G175" t="str">
        <f>IF('[1]Raw Data'!G175="", "Unknown", '[1]Raw Data'!G175)</f>
        <v>TypeA</v>
      </c>
      <c r="H175">
        <v>0</v>
      </c>
      <c r="I175">
        <f t="shared" si="4"/>
        <v>45.25</v>
      </c>
      <c r="J175">
        <f t="shared" si="5"/>
        <v>5.556338028169014</v>
      </c>
    </row>
    <row r="176" spans="1:10" x14ac:dyDescent="0.2">
      <c r="A176">
        <v>69.790000000000006</v>
      </c>
      <c r="B176">
        <v>3.12</v>
      </c>
      <c r="C176">
        <v>1.41</v>
      </c>
      <c r="D176">
        <v>8.15</v>
      </c>
      <c r="E176">
        <v>12.15</v>
      </c>
      <c r="F176" t="s">
        <v>12</v>
      </c>
      <c r="G176" t="str">
        <f>IF('[1]Raw Data'!G176="", "Unknown", '[1]Raw Data'!G176)</f>
        <v>TypeA</v>
      </c>
      <c r="H176">
        <v>0</v>
      </c>
      <c r="I176">
        <f t="shared" si="4"/>
        <v>56.788000000000004</v>
      </c>
      <c r="J176">
        <f t="shared" si="5"/>
        <v>15.07343412526998</v>
      </c>
    </row>
    <row r="177" spans="1:10" x14ac:dyDescent="0.2">
      <c r="A177">
        <v>52.41</v>
      </c>
      <c r="B177">
        <v>7.43</v>
      </c>
      <c r="C177">
        <v>0.62</v>
      </c>
      <c r="D177">
        <v>10</v>
      </c>
      <c r="E177">
        <v>76.45</v>
      </c>
      <c r="F177" t="s">
        <v>10</v>
      </c>
      <c r="G177" t="str">
        <f>IF('[1]Raw Data'!G177="", "Unknown", '[1]Raw Data'!G177)</f>
        <v>TypeB</v>
      </c>
      <c r="H177">
        <v>1</v>
      </c>
      <c r="I177">
        <f t="shared" si="4"/>
        <v>42.989999999999995</v>
      </c>
      <c r="J177">
        <f t="shared" si="5"/>
        <v>6.4306748466257675</v>
      </c>
    </row>
    <row r="178" spans="1:10" x14ac:dyDescent="0.2">
      <c r="A178">
        <v>47.92</v>
      </c>
      <c r="B178">
        <v>3.92</v>
      </c>
      <c r="C178">
        <v>4.51</v>
      </c>
      <c r="D178">
        <v>6.29</v>
      </c>
      <c r="E178">
        <v>24.59</v>
      </c>
      <c r="F178" t="s">
        <v>11</v>
      </c>
      <c r="G178" t="str">
        <f>IF('[1]Raw Data'!G178="", "Unknown", '[1]Raw Data'!G178)</f>
        <v>TypeB</v>
      </c>
      <c r="H178">
        <v>0</v>
      </c>
      <c r="I178">
        <f t="shared" si="4"/>
        <v>39.416000000000004</v>
      </c>
      <c r="J178">
        <f t="shared" si="5"/>
        <v>5.6178194607268468</v>
      </c>
    </row>
    <row r="179" spans="1:10" x14ac:dyDescent="0.2">
      <c r="A179">
        <v>5</v>
      </c>
      <c r="B179">
        <v>6.63</v>
      </c>
      <c r="C179">
        <v>2.5299999999999998</v>
      </c>
      <c r="D179">
        <v>7.58</v>
      </c>
      <c r="E179">
        <v>33.200000000000003</v>
      </c>
      <c r="F179" t="s">
        <v>11</v>
      </c>
      <c r="G179" t="str">
        <f>IF('[1]Raw Data'!G179="", "Unknown", '[1]Raw Data'!G179)</f>
        <v>TypeA</v>
      </c>
      <c r="H179">
        <v>1</v>
      </c>
      <c r="I179">
        <f t="shared" si="4"/>
        <v>5.0110000000000001</v>
      </c>
      <c r="J179">
        <f t="shared" si="5"/>
        <v>0.5399568034557235</v>
      </c>
    </row>
    <row r="180" spans="1:10" x14ac:dyDescent="0.2">
      <c r="A180">
        <v>24.23</v>
      </c>
      <c r="B180">
        <v>6.53</v>
      </c>
      <c r="C180">
        <v>1.1200000000000001</v>
      </c>
      <c r="D180">
        <v>7.2</v>
      </c>
      <c r="E180">
        <v>0</v>
      </c>
      <c r="F180" t="s">
        <v>12</v>
      </c>
      <c r="G180" t="str">
        <f>IF('[1]Raw Data'!G180="", "Unknown", '[1]Raw Data'!G180)</f>
        <v>TypeC</v>
      </c>
      <c r="H180">
        <v>0</v>
      </c>
      <c r="I180">
        <f t="shared" si="4"/>
        <v>20.215999999999998</v>
      </c>
      <c r="J180">
        <f t="shared" si="5"/>
        <v>3.1264516129032258</v>
      </c>
    </row>
    <row r="181" spans="1:10" x14ac:dyDescent="0.2">
      <c r="A181">
        <v>50.24</v>
      </c>
      <c r="B181">
        <v>3.83</v>
      </c>
      <c r="C181">
        <v>2.12</v>
      </c>
      <c r="D181">
        <v>7.09</v>
      </c>
      <c r="E181">
        <v>50.54</v>
      </c>
      <c r="F181" t="s">
        <v>10</v>
      </c>
      <c r="G181" t="str">
        <f>IF('[1]Raw Data'!G181="", "Unknown", '[1]Raw Data'!G181)</f>
        <v>TypeB</v>
      </c>
      <c r="H181">
        <v>0</v>
      </c>
      <c r="I181">
        <f t="shared" si="4"/>
        <v>41.113000000000014</v>
      </c>
      <c r="J181">
        <f t="shared" si="5"/>
        <v>8.3041322314049584</v>
      </c>
    </row>
    <row r="182" spans="1:10" x14ac:dyDescent="0.2">
      <c r="A182">
        <v>40.299999999999997</v>
      </c>
      <c r="B182">
        <v>7.43</v>
      </c>
      <c r="C182">
        <v>0.81</v>
      </c>
      <c r="D182">
        <v>6.6</v>
      </c>
      <c r="E182">
        <v>28.63</v>
      </c>
      <c r="F182" t="s">
        <v>12</v>
      </c>
      <c r="G182" t="str">
        <f>IF('[1]Raw Data'!G182="", "Unknown", '[1]Raw Data'!G182)</f>
        <v>TypeB</v>
      </c>
      <c r="H182">
        <v>1</v>
      </c>
      <c r="I182">
        <f t="shared" si="4"/>
        <v>32.981000000000002</v>
      </c>
      <c r="J182">
        <f t="shared" si="5"/>
        <v>4.8321342925659474</v>
      </c>
    </row>
    <row r="183" spans="1:10" x14ac:dyDescent="0.2">
      <c r="A183">
        <v>56.43</v>
      </c>
      <c r="B183">
        <v>3.09</v>
      </c>
      <c r="C183">
        <v>4.71</v>
      </c>
      <c r="D183">
        <v>8.43</v>
      </c>
      <c r="E183">
        <v>31.32</v>
      </c>
      <c r="F183" t="s">
        <v>11</v>
      </c>
      <c r="G183" t="str">
        <f>IF('[1]Raw Data'!G183="", "Unknown", '[1]Raw Data'!G183)</f>
        <v>TypeC</v>
      </c>
      <c r="H183">
        <v>0</v>
      </c>
      <c r="I183">
        <f t="shared" si="4"/>
        <v>46.457999999999998</v>
      </c>
      <c r="J183">
        <f t="shared" si="5"/>
        <v>7.1430379746835451</v>
      </c>
    </row>
    <row r="184" spans="1:10" ht="17" x14ac:dyDescent="0.25">
      <c r="A184">
        <v>24.32</v>
      </c>
      <c r="B184" s="4">
        <f>IF(ISBLANK(B156), AVERAGE($B$2:$B$141), B156)</f>
        <v>3.84</v>
      </c>
      <c r="C184">
        <v>0.89</v>
      </c>
      <c r="D184">
        <v>3.48</v>
      </c>
      <c r="E184">
        <v>1.72</v>
      </c>
      <c r="F184" t="s">
        <v>10</v>
      </c>
      <c r="G184" t="str">
        <f>IF('[1]Raw Data'!G184="", "Unknown", '[1]Raw Data'!G184)</f>
        <v>Unknown</v>
      </c>
      <c r="H184">
        <v>0</v>
      </c>
      <c r="I184">
        <f t="shared" si="4"/>
        <v>19.893000000000001</v>
      </c>
      <c r="J184">
        <f t="shared" si="5"/>
        <v>5.0351966873706013</v>
      </c>
    </row>
    <row r="185" spans="1:10" ht="17" x14ac:dyDescent="0.25">
      <c r="A185">
        <v>69.28</v>
      </c>
      <c r="B185">
        <v>4.99</v>
      </c>
      <c r="C185">
        <v>5.43</v>
      </c>
      <c r="D185" s="4">
        <f>IF(ISBLANK(D162), AVERAGE($D$2:$D$141), D162)</f>
        <v>2.2599999999999998</v>
      </c>
      <c r="E185">
        <v>69.790000000000006</v>
      </c>
      <c r="F185" t="s">
        <v>10</v>
      </c>
      <c r="G185" t="str">
        <f>IF('[1]Raw Data'!G185="", "Unknown", '[1]Raw Data'!G185)</f>
        <v>TypeC</v>
      </c>
      <c r="H185">
        <v>1</v>
      </c>
      <c r="I185">
        <f t="shared" si="4"/>
        <v>56.193000000000005</v>
      </c>
      <c r="J185">
        <f t="shared" si="5"/>
        <v>6.5855513307984799</v>
      </c>
    </row>
    <row r="186" spans="1:10" x14ac:dyDescent="0.2">
      <c r="A186">
        <v>30.84</v>
      </c>
      <c r="B186">
        <v>6.65</v>
      </c>
      <c r="C186">
        <v>3.69</v>
      </c>
      <c r="D186">
        <v>5.25</v>
      </c>
      <c r="E186">
        <v>13.85</v>
      </c>
      <c r="F186" t="s">
        <v>10</v>
      </c>
      <c r="G186" t="str">
        <f>IF('[1]Raw Data'!G186="", "Unknown", '[1]Raw Data'!G186)</f>
        <v>TypeC</v>
      </c>
      <c r="H186">
        <v>0</v>
      </c>
      <c r="I186">
        <f t="shared" si="4"/>
        <v>25.565999999999999</v>
      </c>
      <c r="J186">
        <f t="shared" si="5"/>
        <v>2.9540229885057472</v>
      </c>
    </row>
    <row r="187" spans="1:10" x14ac:dyDescent="0.2">
      <c r="A187">
        <v>10.43</v>
      </c>
      <c r="B187">
        <v>6.4</v>
      </c>
      <c r="C187">
        <v>1.49</v>
      </c>
      <c r="D187">
        <v>8.17</v>
      </c>
      <c r="E187">
        <v>13.19</v>
      </c>
      <c r="F187" t="s">
        <v>10</v>
      </c>
      <c r="G187" t="str">
        <f>IF('[1]Raw Data'!G187="", "Unknown", '[1]Raw Data'!G187)</f>
        <v>TypeB</v>
      </c>
      <c r="H187">
        <v>0</v>
      </c>
      <c r="I187">
        <f t="shared" si="4"/>
        <v>9.3099999999999987</v>
      </c>
      <c r="J187">
        <f t="shared" si="5"/>
        <v>1.3053817271589485</v>
      </c>
    </row>
    <row r="188" spans="1:10" x14ac:dyDescent="0.2">
      <c r="A188">
        <v>75.09</v>
      </c>
      <c r="B188">
        <v>4.8499999999999996</v>
      </c>
      <c r="C188">
        <v>4.58</v>
      </c>
      <c r="D188">
        <v>7.11</v>
      </c>
      <c r="E188">
        <v>42.6</v>
      </c>
      <c r="F188" t="s">
        <v>11</v>
      </c>
      <c r="G188" t="str">
        <f>IF('[1]Raw Data'!G188="", "Unknown", '[1]Raw Data'!G188)</f>
        <v>TypeB</v>
      </c>
      <c r="H188">
        <v>0</v>
      </c>
      <c r="I188">
        <f t="shared" si="4"/>
        <v>61.241</v>
      </c>
      <c r="J188">
        <f t="shared" si="5"/>
        <v>7.879328436516265</v>
      </c>
    </row>
    <row r="189" spans="1:10" x14ac:dyDescent="0.2">
      <c r="A189">
        <v>49.02</v>
      </c>
      <c r="B189">
        <v>6.03</v>
      </c>
      <c r="C189">
        <v>4.4800000000000004</v>
      </c>
      <c r="D189">
        <v>7.27</v>
      </c>
      <c r="E189">
        <v>31.46</v>
      </c>
      <c r="F189" t="s">
        <v>11</v>
      </c>
      <c r="G189" t="str">
        <f>IF('[1]Raw Data'!G189="", "Unknown", '[1]Raw Data'!G189)</f>
        <v>TypeA</v>
      </c>
      <c r="H189">
        <v>0</v>
      </c>
      <c r="I189">
        <f t="shared" si="4"/>
        <v>40.391000000000005</v>
      </c>
      <c r="J189">
        <f t="shared" si="5"/>
        <v>4.6201696512723842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C24357241 Illya Mikava</dc:creator>
  <cp:lastModifiedBy>C24357241 Illya Mikava</cp:lastModifiedBy>
  <dcterms:created xsi:type="dcterms:W3CDTF">2025-11-13T19:03:33Z</dcterms:created>
  <dcterms:modified xsi:type="dcterms:W3CDTF">2025-11-13T19:04:47Z</dcterms:modified>
</cp:coreProperties>
</file>